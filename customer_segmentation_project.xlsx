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f323644f404c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c56d7dbafc4e4ce2"/>
    <x:sheet xmlns:r="http://schemas.openxmlformats.org/officeDocument/2006/relationships" name="Customer Data" sheetId="2" r:id="R983ed008b2124fe7"/>
    <x:sheet xmlns:r="http://schemas.openxmlformats.org/officeDocument/2006/relationships" name="Segment Profiles" sheetId="3" r:id="Ree2a3bfd9e704660"/>
    <x:sheet xmlns:r="http://schemas.openxmlformats.org/officeDocument/2006/relationships" name="Methodology" sheetId="4" r:id="R36d4b6cb00a241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$#,##0"/>
    <x:numFmt numFmtId="201" formatCode="0%"/>
    <x:numFmt numFmtId="202" formatCode="0.0%"/>
    <x:numFmt numFmtId="203" formatCode="0.0"/>
    <x:numFmt numFmtId="204" formatCode="#,##0"/>
  </x:numFmts>
  <x:fonts count="9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8"/>
      <x:color rgb="FFFFFFFF"/>
      <x:name val="Carlito"/>
    </x:font>
    <x:font>
      <x:i/>
      <x:sz val="10"/>
      <x:color rgb="FFD9EAF7"/>
      <x:name val="Carlito"/>
    </x:font>
    <x:font>
      <x:b/>
      <x:sz val="10"/>
      <x:color rgb="FFFFFFFF"/>
      <x:name val="Carlito"/>
    </x:font>
    <x:font>
      <x:b/>
      <x:sz val="18"/>
      <x:color rgb="FF203864"/>
      <x:name val="Carlito"/>
    </x:font>
    <x:font>
      <x:b/>
      <x:sz val="11"/>
      <x:color rgb="FF203864"/>
      <x:name val="Carlito"/>
    </x:font>
    <x:font>
      <x:sz val="11"/>
      <x:color rgb="FF1D4D4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203864"/>
      </x:patternFill>
    </x:fill>
    <x:fill>
      <x:patternFill patternType="solid">
        <x:fgColor rgb="FF2F75B5"/>
      </x:patternFill>
    </x:fill>
    <x:fill>
      <x:patternFill patternType="solid">
        <x:fgColor rgb="FF00A6A6"/>
      </x:patternFill>
    </x:fill>
    <x:fill>
      <x:patternFill patternType="solid">
        <x:fgColor rgb="FFF4F7FB"/>
      </x:patternFill>
    </x:fill>
    <x:fill>
      <x:patternFill patternType="solid">
        <x:fgColor rgb="FFD9EAF7"/>
      </x:patternFill>
    </x:fill>
    <x:fill>
      <x:patternFill patternType="solid">
        <x:fgColor rgb="FFEAF4F4"/>
      </x:patternFill>
    </x:fill>
  </x:fills>
  <x:borders count="21">
    <x:border/>
    <x:border>
      <x:right style="thin">
        <x:color rgb="FFE7EDF5"/>
      </x:right>
      <x:bottom style="thin">
        <x:color rgb="FFE7EDF5"/>
      </x:bottom>
    </x:border>
    <x:border>
      <x:left style="thin">
        <x:color rgb="FFE7EDF5"/>
      </x:left>
      <x:right style="thin">
        <x:color rgb="FFE7EDF5"/>
      </x:right>
      <x:bottom style="thin">
        <x:color rgb="FFE7EDF5"/>
      </x:bottom>
    </x:border>
    <x:border>
      <x:left style="thin">
        <x:color rgb="FFE7EDF5"/>
      </x:left>
      <x:bottom style="thin">
        <x:color rgb="FFE7EDF5"/>
      </x:bottom>
    </x:border>
    <x:border>
      <x:right style="thin">
        <x:color rgb="FFE7EDF5"/>
      </x:right>
      <x:top style="thin">
        <x:color rgb="FFE7EDF5"/>
      </x:top>
      <x:bottom style="thin">
        <x:color rgb="FFE7EDF5"/>
      </x:bottom>
    </x:border>
    <x:border>
      <x:left style="thin">
        <x:color rgb="FFE7EDF5"/>
      </x:left>
      <x:right style="thin">
        <x:color rgb="FFE7EDF5"/>
      </x:right>
      <x:top style="thin">
        <x:color rgb="FFE7EDF5"/>
      </x:top>
      <x:bottom style="thin">
        <x:color rgb="FFE7EDF5"/>
      </x:bottom>
    </x:border>
    <x:border>
      <x:left style="thin">
        <x:color rgb="FFE7EDF5"/>
      </x:left>
      <x:top style="thin">
        <x:color rgb="FFE7EDF5"/>
      </x:top>
      <x:bottom style="thin">
        <x:color rgb="FFE7EDF5"/>
      </x:bottom>
    </x:border>
    <x:border>
      <x:right style="thin">
        <x:color rgb="FFE7EDF5"/>
      </x:right>
      <x:top style="thin">
        <x:color rgb="FFE7EDF5"/>
      </x:top>
    </x:border>
    <x:border>
      <x:left style="thin">
        <x:color rgb="FFE7EDF5"/>
      </x:left>
      <x:right style="thin">
        <x:color rgb="FFE7EDF5"/>
      </x:right>
      <x:top style="thin">
        <x:color rgb="FFE7EDF5"/>
      </x:top>
    </x:border>
    <x:border>
      <x:left style="thin">
        <x:color rgb="FFE7EDF5"/>
      </x:left>
      <x:top style="thin">
        <x:color rgb="FFE7EDF5"/>
      </x:top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top style="thin">
        <x:color rgb="FFD9E2F3"/>
      </x:top>
    </x:border>
    <x:border>
      <x:bottom style="thin">
        <x:color rgb="FFD9E2F3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200" fontId="0" fillId="0" borderId="2" xfId="0" applyNumberFormat="1" applyFont="1" applyFill="1" applyBorder="1"/>
    <x:xf numFmtId="200" fontId="0" fillId="0" borderId="5" xfId="0" applyNumberFormat="1" applyFont="1" applyFill="1" applyBorder="1"/>
    <x:xf numFmtId="200" fontId="0" fillId="0" borderId="8" xfId="0" applyNumberFormat="1" applyFont="1" applyFill="1" applyBorder="1"/>
    <x:xf numFmtId="201" fontId="0" fillId="0" borderId="2" xfId="0" applyNumberFormat="1" applyFont="1" applyFill="1" applyBorder="1"/>
    <x:xf numFmtId="201" fontId="0" fillId="0" borderId="5" xfId="0" applyNumberFormat="1" applyFont="1" applyFill="1" applyBorder="1"/>
    <x:xf numFmtId="201" fontId="0" fillId="0" borderId="8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2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202" fontId="0" fillId="0" borderId="11" xfId="0" applyNumberFormat="1" applyFont="1" applyFill="1" applyBorder="1"/>
    <x:xf numFmtId="202" fontId="0" fillId="0" borderId="14" xfId="0" applyNumberFormat="1" applyFont="1" applyFill="1" applyBorder="1"/>
    <x:xf numFmtId="202" fontId="0" fillId="0" borderId="17" xfId="0" applyNumberFormat="1" applyFont="1" applyFill="1" applyBorder="1"/>
    <x:xf numFmtId="200" fontId="0" fillId="0" borderId="11" xfId="0" applyNumberFormat="1" applyFont="1" applyFill="1" applyBorder="1"/>
    <x:xf numFmtId="200" fontId="0" fillId="0" borderId="14" xfId="0" applyNumberFormat="1" applyFont="1" applyFill="1" applyBorder="1"/>
    <x:xf numFmtId="200" fontId="0" fillId="0" borderId="17" xfId="0" applyNumberFormat="1" applyFont="1" applyFill="1" applyBorder="1"/>
    <x:xf numFmtId="203" fontId="0" fillId="0" borderId="11" xfId="0" applyNumberFormat="1" applyFont="1" applyFill="1" applyBorder="1"/>
    <x:xf numFmtId="203" fontId="0" fillId="0" borderId="14" xfId="0" applyNumberFormat="1" applyFont="1" applyFill="1" applyBorder="1"/>
    <x:xf numFmtId="203" fontId="0" fillId="0" borderId="17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6" fillId="5" borderId="0" xfId="0" applyNumberFormat="1" applyFont="1" applyFill="1" applyBorder="1"/>
    <x:xf numFmtId="0" fontId="6" fillId="5" borderId="18" xfId="0" applyNumberFormat="1" applyFont="1" applyFill="1" applyBorder="1"/>
    <x:xf numFmtId="0" fontId="6" fillId="5" borderId="19" xfId="0" applyNumberFormat="1" applyFont="1" applyFill="1" applyBorder="1"/>
    <x:xf numFmtId="0" fontId="6" fillId="5" borderId="16" xfId="0" applyNumberFormat="1" applyFont="1" applyFill="1" applyBorder="1"/>
    <x:xf numFmtId="0" fontId="6" fillId="5" borderId="12" xfId="0" applyNumberFormat="1" applyFont="1" applyFill="1" applyBorder="1"/>
    <x:xf numFmtId="0" fontId="6" fillId="5" borderId="20" xfId="0" applyNumberFormat="1" applyFont="1" applyFill="1" applyBorder="1"/>
    <x:xf numFmtId="0" fontId="6" fillId="5" borderId="10" xfId="0" applyNumberFormat="1" applyFont="1" applyFill="1" applyBorder="1"/>
    <x:xf numFmtId="0" fontId="6" fillId="5" borderId="18" xfId="0" applyNumberFormat="1" applyFont="1" applyFill="1" applyBorder="1" applyAlignment="1">
      <x:alignment horizontal="center"/>
    </x:xf>
    <x:xf numFmtId="0" fontId="6" fillId="5" borderId="19" xfId="0" applyNumberFormat="1" applyFont="1" applyFill="1" applyBorder="1" applyAlignment="1">
      <x:alignment horizontal="center"/>
    </x:xf>
    <x:xf numFmtId="0" fontId="6" fillId="5" borderId="16" xfId="0" applyNumberFormat="1" applyFont="1" applyFill="1" applyBorder="1" applyAlignment="1">
      <x:alignment horizontal="center"/>
    </x:xf>
    <x:xf numFmtId="0" fontId="6" fillId="5" borderId="12" xfId="0" applyNumberFormat="1" applyFont="1" applyFill="1" applyBorder="1" applyAlignment="1">
      <x:alignment horizontal="center"/>
    </x:xf>
    <x:xf numFmtId="0" fontId="6" fillId="5" borderId="20" xfId="0" applyNumberFormat="1" applyFont="1" applyFill="1" applyBorder="1" applyAlignment="1">
      <x:alignment horizontal="center"/>
    </x:xf>
    <x:xf numFmtId="0" fontId="6" fillId="5" borderId="10" xfId="0" applyNumberFormat="1" applyFont="1" applyFill="1" applyBorder="1" applyAlignment="1">
      <x:alignment horizontal="center"/>
    </x:xf>
    <x:xf numFmtId="0" fontId="6" fillId="5" borderId="18" xfId="0" applyNumberFormat="1" applyFont="1" applyFill="1" applyBorder="1" applyAlignment="1">
      <x:alignment horizontal="center" vertical="center"/>
    </x:xf>
    <x:xf numFmtId="0" fontId="6" fillId="5" borderId="19" xfId="0" applyNumberFormat="1" applyFont="1" applyFill="1" applyBorder="1" applyAlignment="1">
      <x:alignment horizontal="center" vertical="center"/>
    </x:xf>
    <x:xf numFmtId="0" fontId="6" fillId="5" borderId="16" xfId="0" applyNumberFormat="1" applyFont="1" applyFill="1" applyBorder="1" applyAlignment="1">
      <x:alignment horizontal="center" vertical="center"/>
    </x:xf>
    <x:xf numFmtId="0" fontId="6" fillId="5" borderId="12" xfId="0" applyNumberFormat="1" applyFont="1" applyFill="1" applyBorder="1" applyAlignment="1">
      <x:alignment horizontal="center" vertical="center"/>
    </x:xf>
    <x:xf numFmtId="0" fontId="6" fillId="5" borderId="20" xfId="0" applyNumberFormat="1" applyFont="1" applyFill="1" applyBorder="1" applyAlignment="1">
      <x:alignment horizontal="center" vertical="center"/>
    </x:xf>
    <x:xf numFmtId="0" fontId="6" fillId="5" borderId="10" xfId="0" applyNumberFormat="1" applyFont="1" applyFill="1" applyBorder="1" applyAlignment="1">
      <x:alignment horizontal="center" vertical="center"/>
    </x:xf>
    <x:xf numFmtId="204" fontId="6" fillId="5" borderId="18" xfId="0" applyNumberFormat="1" applyFont="1" applyFill="1" applyBorder="1" applyAlignment="1">
      <x:alignment horizontal="center" vertical="center"/>
    </x:xf>
    <x:xf numFmtId="200" fontId="6" fillId="5" borderId="18" xfId="0" applyNumberFormat="1" applyFont="1" applyFill="1" applyBorder="1" applyAlignment="1">
      <x:alignment horizontal="center" vertical="center"/>
    </x:xf>
    <x:xf numFmtId="202" fontId="6" fillId="5" borderId="18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horizontal="center"/>
    </x:xf>
    <x:xf numFmtId="0" fontId="7" fillId="6" borderId="1" xfId="0" applyNumberFormat="1" applyFont="1" applyFill="1" applyBorder="1" applyAlignment="1">
      <x:alignment horizontal="center"/>
    </x:xf>
    <x:xf numFmtId="0" fontId="7" fillId="6" borderId="2" xfId="0" applyNumberFormat="1" applyFont="1" applyFill="1" applyBorder="1" applyAlignment="1">
      <x:alignment horizontal="center"/>
    </x:xf>
    <x:xf numFmtId="0" fontId="7" fillId="6" borderId="3" xfId="0" applyNumberFormat="1" applyFont="1" applyFill="1" applyBorder="1" applyAlignment="1">
      <x:alignment horizontal="center"/>
    </x:xf>
    <x:xf numFmtId="202" fontId="0" fillId="0" borderId="5" xfId="0" applyNumberFormat="1" applyFont="1" applyFill="1" applyBorder="1"/>
    <x:xf numFmtId="202" fontId="0" fillId="0" borderId="8" xfId="0" applyNumberFormat="1" applyFont="1" applyFill="1" applyBorder="1"/>
    <x:xf numFmtId="203" fontId="0" fillId="0" borderId="6" xfId="0" applyNumberFormat="1" applyFont="1" applyFill="1" applyBorder="1"/>
    <x:xf numFmtId="203" fontId="0" fillId="0" borderId="9" xfId="0" applyNumberFormat="1" applyFont="1" applyFill="1" applyBorder="1"/>
    <x:xf numFmtId="0" fontId="0" fillId="7" borderId="0" xfId="0" applyNumberFormat="1" applyFont="1" applyFill="1" applyBorder="1"/>
    <x:xf numFmtId="0" fontId="8" fillId="7" borderId="0" xfId="0" applyNumberFormat="1" applyFont="1" applyFill="1" applyBorder="1"/>
    <x:xf numFmtId="0" fontId="8" fillId="7" borderId="0" xfId="0" applyNumberFormat="1" applyFont="1" applyFill="1" applyBorder="1" applyAlignment="1">
      <x:alignment wrapText="1"/>
    </x:xf>
    <x:xf numFmtId="0" fontId="8" fillId="7" borderId="0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vertical="center" wrapText="1"/>
    </x:xf>
    <x:xf numFmtId="0" fontId="0" fillId="0" borderId="12" xfId="0" applyNumberFormat="1" applyFont="1" applyFill="1" applyBorder="1" applyAlignment="1">
      <x:alignment vertical="center" wrapText="1"/>
    </x:xf>
    <x:xf numFmtId="0" fontId="0" fillId="0" borderId="13" xfId="0" applyNumberFormat="1" applyFont="1" applyFill="1" applyBorder="1" applyAlignment="1">
      <x:alignment vertical="center" wrapText="1"/>
    </x:xf>
    <x:xf numFmtId="0" fontId="0" fillId="0" borderId="15" xfId="0" applyNumberFormat="1" applyFont="1" applyFill="1" applyBorder="1" applyAlignment="1">
      <x:alignment vertical="center" wrapText="1"/>
    </x:xf>
    <x:xf numFmtId="0" fontId="0" fillId="0" borderId="16" xfId="0" applyNumberFormat="1" applyFont="1" applyFill="1" applyBorder="1" applyAlignment="1">
      <x:alignment vertical="center" wrapText="1"/>
    </x:xf>
    <x:xf numFmtId="0" fontId="0" fillId="0" borderId="18" xfId="0" applyNumberFormat="1" applyFont="1" applyFill="1" applyBorder="1" applyAlignment="1">
      <x:alignment vertical="center" wrapText="1"/>
    </x:xf>
    <x:xf numFmtId="0" fontId="0" fillId="6" borderId="10" xfId="0" applyNumberFormat="1" applyFont="1" applyFill="1" applyBorder="1" applyAlignment="1">
      <x:alignment vertical="center" wrapText="1"/>
    </x:xf>
    <x:xf numFmtId="0" fontId="0" fillId="6" borderId="13" xfId="0" applyNumberFormat="1" applyFont="1" applyFill="1" applyBorder="1" applyAlignment="1">
      <x:alignment vertical="center" wrapText="1"/>
    </x:xf>
    <x:xf numFmtId="0" fontId="0" fillId="6" borderId="16" xfId="0" applyNumberFormat="1" applyFont="1" applyFill="1" applyBorder="1" applyAlignment="1">
      <x:alignment vertical="center" wrapText="1"/>
    </x:xf>
    <x:xf numFmtId="0" fontId="7" fillId="6" borderId="10" xfId="0" applyNumberFormat="1" applyFont="1" applyFill="1" applyBorder="1" applyAlignment="1">
      <x:alignment vertical="center" wrapText="1"/>
    </x:xf>
    <x:xf numFmtId="0" fontId="7" fillId="6" borderId="13" xfId="0" applyNumberFormat="1" applyFont="1" applyFill="1" applyBorder="1" applyAlignment="1">
      <x:alignment vertical="center" wrapText="1"/>
    </x:xf>
    <x:xf numFmtId="0" fontId="7" fillId="6" borderId="16" xfId="0" applyNumberFormat="1" applyFont="1" applyFill="1" applyBorder="1" applyAlignment="1">
      <x:alignment vertical="center" wrapText="1"/>
    </x:xf>
    <x:xf numFmtId="0" fontId="1" fillId="4" borderId="14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a7f4b359644685" /><Relationship Type="http://schemas.openxmlformats.org/officeDocument/2006/relationships/theme" Target="/xl/theme/theme1.xml" Id="Rbb5a83f4a9e04c82" /><Relationship Type="http://schemas.openxmlformats.org/officeDocument/2006/relationships/sharedStrings" Target="/xl/sharedStrings.xml" Id="R735976813f1e488c" /><Relationship Type="http://schemas.openxmlformats.org/officeDocument/2006/relationships/worksheet" Target="/xl/worksheets/sheet1.xml" Id="Rc56d7dbafc4e4ce2" /><Relationship Type="http://schemas.openxmlformats.org/officeDocument/2006/relationships/worksheet" Target="/xl/worksheets/sheet2.xml" Id="R983ed008b2124fe7" /><Relationship Type="http://schemas.openxmlformats.org/officeDocument/2006/relationships/worksheet" Target="/xl/worksheets/sheet3.xml" Id="Ree2a3bfd9e704660" /><Relationship Type="http://schemas.openxmlformats.org/officeDocument/2006/relationships/worksheet" Target="/xl/worksheets/sheet4.xml" Id="R36d4b6cb00a2417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96d3b958f8a4c46" /><Relationship Type="http://schemas.openxmlformats.org/officeDocument/2006/relationships/chart" Target="/xl/drawings/charts/chart2.xml" Id="Rd8f1b6f2827d45b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Customer Mix by Segment</a:t>
            </a:r>
          </a:p>
        </c:rich>
      </c:tx>
      <c:overlay val="0"/>
    </c:title>
    <c:plotArea>
      <c:doughnutChart>
        <c:ser>
          <c:idx val="0"/>
          <c:order val="0"/>
          <c:tx>
            <c:v>Customers</c:v>
          </c:tx>
          <c:cat>
            <c:strRef>
              <c:f>'Dashboard'!$O$10:$O$13</c:f>
              <c:strCache>
                <c:ptCount val="0"/>
              </c:strCache>
            </c:strRef>
          </c:cat>
          <c:val>
            <c:numRef>
              <c:f>'Dashboard'!$P$10:$P$13</c:f>
              <c:numCache>
                <c:formatCode>General</c:formatCode>
                <c:ptCount val="0"/>
              </c:numCache>
            </c:numRef>
          </c:val>
        </c:ser>
      </c:doughnutChart>
    </c:plotArea>
    <c:legend>
      <c:legendPos val="r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Average Lifetime Spend ($)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Avg Spend</c:v>
          </c:tx>
          <c:cat>
            <c:strRef>
              <c:f>'Dashboard'!$S$10:$S$13</c:f>
              <c:strCache>
                <c:ptCount val="0"/>
              </c:strCache>
            </c:strRef>
          </c:cat>
          <c:val>
            <c:numRef>
              <c:f>'Dashboard'!$T$10:$T$13</c:f>
              <c:numCache>
                <c:formatCode>$#,##0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8</xdr:row>
      <xdr:rowOff>0</xdr:rowOff>
    </xdr:from>
    <xdr:to>
      <xdr:col>12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96d3b958f8a4c46"/>
        </a:graphicData>
      </a:graphic>
    </xdr:graphicFrame>
    <xdr:clientData/>
  </xdr:twoCellAnchor>
  <xdr:twoCellAnchor>
    <xdr:from>
      <xdr:col>12</xdr:col>
      <xdr:colOff>0</xdr:colOff>
      <xdr:row>8</xdr:row>
      <xdr:rowOff>0</xdr:rowOff>
    </xdr:from>
    <xdr:to>
      <xdr:col>20</xdr:col>
      <xdr:colOff>0</xdr:colOff>
      <xdr:row>20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8f1b6f2827d45bf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CustomerDataTable" displayName="CustomerDataTable" ref="A1:N161" headerRowCount="1" totalsRowCount="0" totalsRowShown="0">
  <x:tableColumns count="14">
    <x:tableColumn id="1" name="Customer ID"/>
    <x:tableColumn id="2" name="Age"/>
    <x:tableColumn id="3" name="Gender"/>
    <x:tableColumn id="4" name="Region"/>
    <x:tableColumn id="5" name="Annual Income"/>
    <x:tableColumn id="6" name="Orders"/>
    <x:tableColumn id="7" name="Avg. Order Value"/>
    <x:tableColumn id="8" name="Lifetime Spend"/>
    <x:tableColumn id="9" name="Recency (Days)"/>
    <x:tableColumn id="10" name="Monthly Web Visits"/>
    <x:tableColumn id="11" name="Email Engagement"/>
    <x:tableColumn id="12" name="Preferred Category"/>
    <x:tableColumn id="13" name="Cluster"/>
    <x:tableColumn id="14" name="Segmen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82cc62add57469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b651d587dc4464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</x:cols>
  <x:sheetData>
    <x:row r="1" ht="32" customHeight="1">
      <x:c r="A1" s="51" t="str">
        <x:v>Customer Segmentation Dashboard</x:v>
      </x:c>
      <x:c r="B1" s="51"/>
      <x:c r="C1" s="51"/>
      <x:c r="D1" s="51"/>
      <x:c r="E1" s="51"/>
      <x:c r="F1" s="51"/>
      <x:c r="G1" s="51"/>
      <x:c r="H1" s="51"/>
      <x:c r="I1" s="51"/>
      <x:c r="J1" s="51"/>
      <x:c r="K1" s="51"/>
      <x:c r="L1" s="51"/>
      <x:c r="M1" s="51"/>
      <x:c r="N1" s="51"/>
    </x:row>
    <x:row r="2">
      <x:c r="A2" s="52" t="str">
        <x:v>K-means behavioral segmentation | 160 synthetic customers | Features: spend, orders, recency, web visits, engagement &amp; income</x:v>
      </x:c>
      <x:c r="B2" s="52"/>
      <x:c r="C2" s="52"/>
      <x:c r="D2" s="52"/>
      <x:c r="E2" s="52"/>
      <x:c r="F2" s="52"/>
      <x:c r="G2" s="52"/>
      <x:c r="H2" s="52"/>
      <x:c r="I2" s="52"/>
      <x:c r="J2" s="52"/>
      <x:c r="K2" s="52"/>
      <x:c r="L2" s="52"/>
      <x:c r="M2" s="52"/>
      <x:c r="N2" s="52"/>
    </x:row>
    <x:row r="4">
      <x:c r="A4" s="54" t="str">
        <x:v>TOTAL CUSTOMERS</x:v>
      </x:c>
      <x:c r="B4" s="54"/>
      <x:c r="C4" s="54"/>
      <x:c r="D4" s="54" t="str">
        <x:v>AVG. LIFETIME SPEND</x:v>
      </x:c>
      <x:c r="E4" s="54"/>
      <x:c r="F4" s="54"/>
      <x:c r="G4" s="54" t="str">
        <x:v>CHAMPION SHARE</x:v>
      </x:c>
      <x:c r="H4" s="54"/>
      <x:c r="I4" s="54"/>
      <x:c r="J4" s="54" t="str">
        <x:v>AT-RISK CUSTOMERS</x:v>
      </x:c>
      <x:c r="K4" s="54"/>
      <x:c r="L4" s="54"/>
    </x:row>
    <x:row r="5">
      <x:c r="A5" s="74" t="n">
        <x:f>COUNTA('Customer Data'!$A$2:$A$161)</x:f>
        <x:v>160</x:v>
      </x:c>
      <x:c r="B5" s="69"/>
      <x:c r="C5" s="70"/>
      <x:c r="D5" s="75" t="n">
        <x:f>AVERAGE('Customer Data'!$H$2:$H$161)</x:f>
        <x:v>2153.96875</x:v>
      </x:c>
      <x:c r="E5" s="69"/>
      <x:c r="F5" s="70"/>
      <x:c r="G5" s="76" t="n">
        <x:f>COUNTIF('Customer Data'!$N$2:$N$161,"Champions")/A5</x:f>
        <x:v>0.25</x:v>
      </x:c>
      <x:c r="H5" s="69"/>
      <x:c r="I5" s="70"/>
      <x:c r="J5" s="74" t="n">
        <x:f>COUNTIF('Customer Data'!$N$2:$N$161,"At Risk")</x:f>
        <x:v>35</x:v>
      </x:c>
      <x:c r="K5" s="69"/>
      <x:c r="L5" s="70"/>
    </x:row>
    <x:row r="6">
      <x:c r="A6" s="71"/>
      <x:c r="B6" s="72"/>
      <x:c r="C6" s="73"/>
      <x:c r="D6" s="71"/>
      <x:c r="E6" s="72"/>
      <x:c r="F6" s="73"/>
      <x:c r="G6" s="71"/>
      <x:c r="H6" s="72"/>
      <x:c r="I6" s="73"/>
      <x:c r="J6" s="71"/>
      <x:c r="K6" s="72"/>
      <x:c r="L6" s="73"/>
    </x:row>
    <x:row r="9">
      <x:c r="A9" s="22" t="str">
        <x:v>SEGMENT SUMMARY</x:v>
      </x:c>
      <x:c r="B9" s="22"/>
      <x:c r="C9" s="22"/>
      <x:c r="D9" s="22"/>
      <x:c r="E9" s="22"/>
      <x:c r="O9" t="str">
        <x:v>Segment</x:v>
      </x:c>
      <x:c r="P9" t="str">
        <x:v>Customers</x:v>
      </x:c>
      <x:c r="Q9" t="str">
        <x:v>Avg Spend</x:v>
      </x:c>
      <x:c r="S9" t="str">
        <x:v>Segment</x:v>
      </x:c>
      <x:c r="T9" t="str">
        <x:v>Avg Spend</x:v>
      </x:c>
    </x:row>
    <x:row r="10">
      <x:c r="A10" s="80" t="str">
        <x:v>Segment</x:v>
      </x:c>
      <x:c r="B10" s="81" t="str">
        <x:v>Customers</x:v>
      </x:c>
      <x:c r="C10" s="81" t="str">
        <x:v>Share</x:v>
      </x:c>
      <x:c r="D10" s="81" t="str">
        <x:v>Avg. Spend</x:v>
      </x:c>
      <x:c r="E10" s="82" t="str">
        <x:v>Avg. Orders</x:v>
      </x:c>
      <x:c r="O10" t="str">
        <x:f>'Segment Profiles'!A4</x:f>
        <x:v>Champions</x:v>
      </x:c>
      <x:c r="P10" t="n">
        <x:f>'Segment Profiles'!B4</x:f>
        <x:v>40</x:v>
      </x:c>
      <x:c r="Q10" t="n">
        <x:f>'Segment Profiles'!D4</x:f>
        <x:v>5127</x:v>
      </x:c>
      <x:c r="S10" t="str">
        <x:f>O10</x:f>
        <x:v>Champions</x:v>
      </x:c>
      <x:c r="T10" t="n">
        <x:f>Q10</x:f>
        <x:v>5127</x:v>
      </x:c>
    </x:row>
    <x:row r="11">
      <x:c r="A11" s="7" t="str">
        <x:f>'Segment Profiles'!A4</x:f>
        <x:v>Champions</x:v>
      </x:c>
      <x:c r="B11" s="8" t="n">
        <x:f>'Segment Profiles'!B4</x:f>
        <x:v>40</x:v>
      </x:c>
      <x:c r="C11" s="83" t="n">
        <x:f>'Segment Profiles'!C4</x:f>
        <x:v>0.25</x:v>
      </x:c>
      <x:c r="D11" s="14" t="n">
        <x:f>'Segment Profiles'!D4</x:f>
        <x:v>5127</x:v>
      </x:c>
      <x:c r="E11" s="85" t="n">
        <x:f>'Segment Profiles'!E4</x:f>
        <x:v>17.95</x:v>
      </x:c>
      <x:c r="O11" t="str">
        <x:f>'Segment Profiles'!A5</x:f>
        <x:v>Loyal Customers</x:v>
      </x:c>
      <x:c r="P11" t="n">
        <x:f>'Segment Profiles'!B5</x:f>
        <x:v>45</x:v>
      </x:c>
      <x:c r="Q11" t="n">
        <x:f>'Segment Profiles'!D5</x:f>
        <x:v>1727.4444444444443</x:v>
      </x:c>
      <x:c r="S11" t="str">
        <x:f>O11</x:f>
        <x:v>Loyal Customers</x:v>
      </x:c>
      <x:c r="T11" t="n">
        <x:f>Q11</x:f>
        <x:v>1727.4444444444443</x:v>
      </x:c>
    </x:row>
    <x:row r="12">
      <x:c r="A12" s="7" t="str">
        <x:f>'Segment Profiles'!A5</x:f>
        <x:v>Loyal Customers</x:v>
      </x:c>
      <x:c r="B12" s="8" t="n">
        <x:f>'Segment Profiles'!B5</x:f>
        <x:v>45</x:v>
      </x:c>
      <x:c r="C12" s="83" t="n">
        <x:f>'Segment Profiles'!C5</x:f>
        <x:v>0.28125</x:v>
      </x:c>
      <x:c r="D12" s="14" t="n">
        <x:f>'Segment Profiles'!D5</x:f>
        <x:v>1727.4444444444443</x:v>
      </x:c>
      <x:c r="E12" s="85" t="n">
        <x:f>'Segment Profiles'!E5</x:f>
        <x:v>13.044444444444444</x:v>
      </x:c>
      <x:c r="O12" t="str">
        <x:f>'Segment Profiles'!A6</x:f>
        <x:v>At Risk</x:v>
      </x:c>
      <x:c r="P12" t="n">
        <x:f>'Segment Profiles'!B6</x:f>
        <x:v>35</x:v>
      </x:c>
      <x:c r="Q12" t="n">
        <x:f>'Segment Profiles'!D6</x:f>
        <x:v>1400.857142857143</x:v>
      </x:c>
      <x:c r="S12" t="str">
        <x:f>O12</x:f>
        <x:v>At Risk</x:v>
      </x:c>
      <x:c r="T12" t="n">
        <x:f>Q12</x:f>
        <x:v>1400.857142857143</x:v>
      </x:c>
    </x:row>
    <x:row r="13">
      <x:c r="A13" s="7" t="str">
        <x:f>'Segment Profiles'!A6</x:f>
        <x:v>At Risk</x:v>
      </x:c>
      <x:c r="B13" s="8" t="n">
        <x:f>'Segment Profiles'!B6</x:f>
        <x:v>35</x:v>
      </x:c>
      <x:c r="C13" s="83" t="n">
        <x:f>'Segment Profiles'!C6</x:f>
        <x:v>0.21875</x:v>
      </x:c>
      <x:c r="D13" s="14" t="n">
        <x:f>'Segment Profiles'!D6</x:f>
        <x:v>1400.857142857143</x:v>
      </x:c>
      <x:c r="E13" s="85" t="n">
        <x:f>'Segment Profiles'!E6</x:f>
        <x:v>8.057142857142857</x:v>
      </x:c>
      <x:c r="O13" t="str">
        <x:f>'Segment Profiles'!A7</x:f>
        <x:v>Value Seekers</x:v>
      </x:c>
      <x:c r="P13" t="n">
        <x:f>'Segment Profiles'!B7</x:f>
        <x:v>40</x:v>
      </x:c>
      <x:c r="Q13" t="n">
        <x:f>'Segment Profiles'!D7</x:f>
        <x:v>319.75</x:v>
      </x:c>
      <x:c r="S13" t="str">
        <x:f>O13</x:f>
        <x:v>Value Seekers</x:v>
      </x:c>
      <x:c r="T13" t="n">
        <x:f>Q13</x:f>
        <x:v>319.75</x:v>
      </x:c>
    </x:row>
    <x:row r="14">
      <x:c r="A14" s="10" t="str">
        <x:f>'Segment Profiles'!A7</x:f>
        <x:v>Value Seekers</x:v>
      </x:c>
      <x:c r="B14" s="11" t="n">
        <x:f>'Segment Profiles'!B7</x:f>
        <x:v>40</x:v>
      </x:c>
      <x:c r="C14" s="84" t="n">
        <x:f>'Segment Profiles'!C7</x:f>
        <x:v>0.25</x:v>
      </x:c>
      <x:c r="D14" s="15" t="n">
        <x:f>'Segment Profiles'!D7</x:f>
        <x:v>319.75</x:v>
      </x:c>
      <x:c r="E14" s="86" t="n">
        <x:f>'Segment Profiles'!E7</x:f>
        <x:v>4</x:v>
      </x:c>
    </x:row>
    <x:row r="17">
      <x:c r="A17" s="46" t="str">
        <x:v>TARGETED INSIGHTS</x:v>
      </x:c>
      <x:c r="B17" s="46"/>
      <x:c r="C17" s="46"/>
      <x:c r="D17" s="46"/>
      <x:c r="E17" s="46"/>
    </x:row>
    <x:row r="18">
      <x:c r="A18" s="90" t="str">
        <x:v>1. Protect Champions with VIP rewards: they deliver the greatest lifetime value.</x:v>
      </x:c>
      <x:c r="B18" s="90"/>
      <x:c r="C18" s="90"/>
      <x:c r="D18" s="90"/>
      <x:c r="E18" s="90"/>
    </x:row>
    <x:row r="19">
      <x:c r="A19" s="90" t="str">
        <x:v>2. Grow Loyal Customers through bundles and complementary-product recommendations.</x:v>
      </x:c>
      <x:c r="B19" s="90"/>
      <x:c r="C19" s="90"/>
      <x:c r="D19" s="90"/>
      <x:c r="E19" s="90"/>
    </x:row>
    <x:row r="20">
      <x:c r="A20" s="90" t="str">
        <x:v>3. Prioritize At Risk customers for urgency-based win-back workflows.</x:v>
      </x:c>
      <x:c r="B20" s="90"/>
      <x:c r="C20" s="90"/>
      <x:c r="D20" s="90"/>
      <x:c r="E20" s="90"/>
    </x:row>
    <x:row r="21">
      <x:c r="A21" s="90" t="str">
        <x:v>4. Nurture Value Seekers with price-led messaging and simple repeat-purchase incentives.</x:v>
      </x:c>
      <x:c r="B21" s="90"/>
      <x:c r="C21" s="90"/>
      <x:c r="D21" s="90"/>
      <x:c r="E21" s="90"/>
    </x:row>
  </x:sheetData>
  <x:mergeCells>
    <x:mergeCell ref="A1:N1"/>
    <x:mergeCell ref="A2:N2"/>
    <x:mergeCell ref="A4:C4"/>
    <x:mergeCell ref="D4:F4"/>
    <x:mergeCell ref="G4:I4"/>
    <x:mergeCell ref="J4:L4"/>
    <x:mergeCell ref="A5:C6"/>
    <x:mergeCell ref="D5:F6"/>
    <x:mergeCell ref="G5:I6"/>
    <x:mergeCell ref="J5:L6"/>
    <x:mergeCell ref="A9:E9"/>
    <x:mergeCell ref="A17:E17"/>
    <x:mergeCell ref="A18:E18"/>
    <x:mergeCell ref="A19:E19"/>
    <x:mergeCell ref="A20:E20"/>
    <x:mergeCell ref="A21:E21"/>
  </x:mergeCells>
  <x:pageMargins left="0.7" right="0.7" top="0.75" bottom="0.75" header="0.3" footer="0.3"/>
  <x:drawing xmlns:r="http://schemas.openxmlformats.org/officeDocument/2006/relationships" r:id="R182cc62add57469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3" hidden="0" customWidth="1"/>
    <x:col min="3" max="3" width="13" hidden="0" customWidth="1"/>
    <x:col min="4" max="4" width="13" hidden="0" customWidth="1"/>
    <x:col min="5" max="5" width="15" hidden="0" customWidth="1"/>
    <x:col min="6" max="6" width="10" hidden="0" customWidth="1"/>
    <x:col min="7" max="7" width="16" hidden="0" customWidth="1"/>
    <x:col min="8" max="8" width="16" hidden="0" customWidth="1"/>
    <x:col min="9" max="9" width="17" hidden="0" customWidth="1"/>
    <x:col min="10" max="10" width="17" hidden="0" customWidth="1"/>
    <x:col min="11" max="11" width="17" hidden="0" customWidth="1"/>
    <x:col min="12" max="12" width="19" hidden="0" customWidth="1"/>
    <x:col min="13" max="13" width="18" hidden="0" customWidth="1"/>
    <x:col min="14" max="14" width="18" hidden="0" customWidth="1"/>
  </x:cols>
  <x:sheetData>
    <x:row r="1">
      <x:c r="A1" s="3" t="str">
        <x:v>Customer ID</x:v>
      </x:c>
      <x:c r="B1" s="3" t="str">
        <x:v>Age</x:v>
      </x:c>
      <x:c r="C1" s="3" t="str">
        <x:v>Gender</x:v>
      </x:c>
      <x:c r="D1" s="3" t="str">
        <x:v>Region</x:v>
      </x:c>
      <x:c r="E1" s="3" t="str">
        <x:v>Annual Income</x:v>
      </x:c>
      <x:c r="F1" s="3" t="str">
        <x:v>Orders</x:v>
      </x:c>
      <x:c r="G1" s="3" t="str">
        <x:v>Avg. Order Value</x:v>
      </x:c>
      <x:c r="H1" s="3" t="str">
        <x:v>Lifetime Spend</x:v>
      </x:c>
      <x:c r="I1" s="3" t="str">
        <x:v>Recency (Days)</x:v>
      </x:c>
      <x:c r="J1" s="3" t="str">
        <x:v>Monthly Web Visits</x:v>
      </x:c>
      <x:c r="K1" s="3" t="str">
        <x:v>Email Engagement</x:v>
      </x:c>
      <x:c r="L1" s="3" t="str">
        <x:v>Preferred Category</x:v>
      </x:c>
      <x:c r="M1" s="3" t="str">
        <x:v>Cluster</x:v>
      </x:c>
      <x:c r="N1" s="3" t="str">
        <x:v>Segment</x:v>
      </x:c>
    </x:row>
    <x:row r="2">
      <x:c r="A2" s="4" t="str">
        <x:v>CUST-1001</x:v>
      </x:c>
      <x:c r="B2" s="5" t="n">
        <x:v>36</x:v>
      </x:c>
      <x:c r="C2" s="5" t="str">
        <x:v>Female</x:v>
      </x:c>
      <x:c r="D2" s="5" t="str">
        <x:v>North</x:v>
      </x:c>
      <x:c r="E2" s="13" t="n">
        <x:v>98200</x:v>
      </x:c>
      <x:c r="F2" s="5" t="n">
        <x:v>16</x:v>
      </x:c>
      <x:c r="G2" s="13" t="n">
        <x:v>255</x:v>
      </x:c>
      <x:c r="H2" s="13" t="n">
        <x:f>F2*G2</x:f>
        <x:v>4080</x:v>
      </x:c>
      <x:c r="I2" s="5" t="n">
        <x:v>1</x:v>
      </x:c>
      <x:c r="J2" s="5" t="n">
        <x:v>17</x:v>
      </x:c>
      <x:c r="K2" s="16" t="n">
        <x:v>0.612</x:v>
      </x:c>
      <x:c r="L2" s="5" t="str">
        <x:v>Technology</x:v>
      </x:c>
      <x:c r="M2" s="5" t="n">
        <x:v>1</x:v>
      </x:c>
      <x:c r="N2" s="6" t="str">
        <x:v>Champions</x:v>
      </x:c>
    </x:row>
    <x:row r="3">
      <x:c r="A3" s="7" t="str">
        <x:v>CUST-1002</x:v>
      </x:c>
      <x:c r="B3" s="8" t="n">
        <x:v>43</x:v>
      </x:c>
      <x:c r="C3" s="8" t="str">
        <x:v>Male</x:v>
      </x:c>
      <x:c r="D3" s="8" t="str">
        <x:v>West</x:v>
      </x:c>
      <x:c r="E3" s="14" t="n">
        <x:v>115400</x:v>
      </x:c>
      <x:c r="F3" s="8" t="n">
        <x:v>18</x:v>
      </x:c>
      <x:c r="G3" s="14" t="n">
        <x:v>290</x:v>
      </x:c>
      <x:c r="H3" s="14" t="n">
        <x:f>F3*G3</x:f>
        <x:v>5220</x:v>
      </x:c>
      <x:c r="I3" s="8" t="n">
        <x:v>15</x:v>
      </x:c>
      <x:c r="J3" s="8" t="n">
        <x:v>21</x:v>
      </x:c>
      <x:c r="K3" s="17" t="n">
        <x:v>0.738</x:v>
      </x:c>
      <x:c r="L3" s="8" t="str">
        <x:v>Home &amp; Living</x:v>
      </x:c>
      <x:c r="M3" s="8" t="n">
        <x:v>1</x:v>
      </x:c>
      <x:c r="N3" s="9" t="str">
        <x:v>Champions</x:v>
      </x:c>
    </x:row>
    <x:row r="4">
      <x:c r="A4" s="7" t="str">
        <x:v>CUST-1003</x:v>
      </x:c>
      <x:c r="B4" s="8" t="n">
        <x:v>37</x:v>
      </x:c>
      <x:c r="C4" s="8" t="str">
        <x:v>Non-binary</x:v>
      </x:c>
      <x:c r="D4" s="8" t="str">
        <x:v>East</x:v>
      </x:c>
      <x:c r="E4" s="14" t="n">
        <x:v>102700</x:v>
      </x:c>
      <x:c r="F4" s="8" t="n">
        <x:v>16</x:v>
      </x:c>
      <x:c r="G4" s="14" t="n">
        <x:v>260</x:v>
      </x:c>
      <x:c r="H4" s="14" t="n">
        <x:f>F4*G4</x:f>
        <x:v>4160</x:v>
      </x:c>
      <x:c r="I4" s="8" t="n">
        <x:v>1</x:v>
      </x:c>
      <x:c r="J4" s="8" t="n">
        <x:v>18</x:v>
      </x:c>
      <x:c r="K4" s="17" t="n">
        <x:v>0.63</x:v>
      </x:c>
      <x:c r="L4" s="8" t="str">
        <x:v>Technology</x:v>
      </x:c>
      <x:c r="M4" s="8" t="n">
        <x:v>1</x:v>
      </x:c>
      <x:c r="N4" s="9" t="str">
        <x:v>Champions</x:v>
      </x:c>
    </x:row>
    <x:row r="5">
      <x:c r="A5" s="7" t="str">
        <x:v>CUST-1004</x:v>
      </x:c>
      <x:c r="B5" s="8" t="n">
        <x:v>44</x:v>
      </x:c>
      <x:c r="C5" s="8" t="str">
        <x:v>Female</x:v>
      </x:c>
      <x:c r="D5" s="8" t="str">
        <x:v>South</x:v>
      </x:c>
      <x:c r="E5" s="14" t="n">
        <x:v>119900</x:v>
      </x:c>
      <x:c r="F5" s="8" t="n">
        <x:v>19</x:v>
      </x:c>
      <x:c r="G5" s="14" t="n">
        <x:v>295</x:v>
      </x:c>
      <x:c r="H5" s="14" t="n">
        <x:f>F5*G5</x:f>
        <x:v>5605</x:v>
      </x:c>
      <x:c r="I5" s="8" t="n">
        <x:v>18</x:v>
      </x:c>
      <x:c r="J5" s="8" t="n">
        <x:v>21</x:v>
      </x:c>
      <x:c r="K5" s="17" t="n">
        <x:v>0.756</x:v>
      </x:c>
      <x:c r="L5" s="8" t="str">
        <x:v>Home &amp; Living</x:v>
      </x:c>
      <x:c r="M5" s="8" t="n">
        <x:v>1</x:v>
      </x:c>
      <x:c r="N5" s="9" t="str">
        <x:v>Champions</x:v>
      </x:c>
    </x:row>
    <x:row r="6">
      <x:c r="A6" s="7" t="str">
        <x:v>CUST-1005</x:v>
      </x:c>
      <x:c r="B6" s="8" t="n">
        <x:v>38</x:v>
      </x:c>
      <x:c r="C6" s="8" t="str">
        <x:v>Male</x:v>
      </x:c>
      <x:c r="D6" s="8" t="str">
        <x:v>North</x:v>
      </x:c>
      <x:c r="E6" s="14" t="n">
        <x:v>102800</x:v>
      </x:c>
      <x:c r="F6" s="8" t="n">
        <x:v>17</x:v>
      </x:c>
      <x:c r="G6" s="14" t="n">
        <x:v>265</x:v>
      </x:c>
      <x:c r="H6" s="14" t="n">
        <x:f>F6*G6</x:f>
        <x:v>4505</x:v>
      </x:c>
      <x:c r="I6" s="8" t="n">
        <x:v>1</x:v>
      </x:c>
      <x:c r="J6" s="8" t="n">
        <x:v>18</x:v>
      </x:c>
      <x:c r="K6" s="17" t="n">
        <x:v>0.648</x:v>
      </x:c>
      <x:c r="L6" s="8" t="str">
        <x:v>Technology</x:v>
      </x:c>
      <x:c r="M6" s="8" t="n">
        <x:v>1</x:v>
      </x:c>
      <x:c r="N6" s="9" t="str">
        <x:v>Champions</x:v>
      </x:c>
    </x:row>
    <x:row r="7">
      <x:c r="A7" s="7" t="str">
        <x:v>CUST-1006</x:v>
      </x:c>
      <x:c r="B7" s="8" t="n">
        <x:v>45</x:v>
      </x:c>
      <x:c r="C7" s="8" t="str">
        <x:v>Non-binary</x:v>
      </x:c>
      <x:c r="D7" s="8" t="str">
        <x:v>West</x:v>
      </x:c>
      <x:c r="E7" s="14" t="n">
        <x:v>120000</x:v>
      </x:c>
      <x:c r="F7" s="8" t="n">
        <x:v>19</x:v>
      </x:c>
      <x:c r="G7" s="14" t="n">
        <x:v>300</x:v>
      </x:c>
      <x:c r="H7" s="14" t="n">
        <x:f>F7*G7</x:f>
        <x:v>5700</x:v>
      </x:c>
      <x:c r="I7" s="8" t="n">
        <x:v>21</x:v>
      </x:c>
      <x:c r="J7" s="8" t="n">
        <x:v>22</x:v>
      </x:c>
      <x:c r="K7" s="17" t="n">
        <x:v>0.774</x:v>
      </x:c>
      <x:c r="L7" s="8" t="str">
        <x:v>Home &amp; Living</x:v>
      </x:c>
      <x:c r="M7" s="8" t="n">
        <x:v>1</x:v>
      </x:c>
      <x:c r="N7" s="9" t="str">
        <x:v>Champions</x:v>
      </x:c>
    </x:row>
    <x:row r="8">
      <x:c r="A8" s="7" t="str">
        <x:v>CUST-1007</x:v>
      </x:c>
      <x:c r="B8" s="8" t="n">
        <x:v>39</x:v>
      </x:c>
      <x:c r="C8" s="8" t="str">
        <x:v>Female</x:v>
      </x:c>
      <x:c r="D8" s="8" t="str">
        <x:v>East</x:v>
      </x:c>
      <x:c r="E8" s="14" t="n">
        <x:v>107300</x:v>
      </x:c>
      <x:c r="F8" s="8" t="n">
        <x:v>17</x:v>
      </x:c>
      <x:c r="G8" s="14" t="n">
        <x:v>270</x:v>
      </x:c>
      <x:c r="H8" s="14" t="n">
        <x:f>F8*G8</x:f>
        <x:v>4590</x:v>
      </x:c>
      <x:c r="I8" s="8" t="n">
        <x:v>3</x:v>
      </x:c>
      <x:c r="J8" s="8" t="n">
        <x:v>19</x:v>
      </x:c>
      <x:c r="K8" s="17" t="n">
        <x:v>0.6659999999999999</x:v>
      </x:c>
      <x:c r="L8" s="8" t="str">
        <x:v>Technology</x:v>
      </x:c>
      <x:c r="M8" s="8" t="n">
        <x:v>1</x:v>
      </x:c>
      <x:c r="N8" s="9" t="str">
        <x:v>Champions</x:v>
      </x:c>
    </x:row>
    <x:row r="9">
      <x:c r="A9" s="7" t="str">
        <x:v>CUST-1008</x:v>
      </x:c>
      <x:c r="B9" s="8" t="n">
        <x:v>46</x:v>
      </x:c>
      <x:c r="C9" s="8" t="str">
        <x:v>Male</x:v>
      </x:c>
      <x:c r="D9" s="8" t="str">
        <x:v>South</x:v>
      </x:c>
      <x:c r="E9" s="14" t="n">
        <x:v>124500</x:v>
      </x:c>
      <x:c r="F9" s="8" t="n">
        <x:v>19</x:v>
      </x:c>
      <x:c r="G9" s="14" t="n">
        <x:v>305</x:v>
      </x:c>
      <x:c r="H9" s="14" t="n">
        <x:f>F9*G9</x:f>
        <x:v>5795</x:v>
      </x:c>
      <x:c r="I9" s="8" t="n">
        <x:v>24</x:v>
      </x:c>
      <x:c r="J9" s="8" t="n">
        <x:v>22</x:v>
      </x:c>
      <x:c r="K9" s="17" t="n">
        <x:v>0.7919999999999999</x:v>
      </x:c>
      <x:c r="L9" s="8" t="str">
        <x:v>Home &amp; Living</x:v>
      </x:c>
      <x:c r="M9" s="8" t="n">
        <x:v>1</x:v>
      </x:c>
      <x:c r="N9" s="9" t="str">
        <x:v>Champions</x:v>
      </x:c>
    </x:row>
    <x:row r="10">
      <x:c r="A10" s="7" t="str">
        <x:v>CUST-1009</x:v>
      </x:c>
      <x:c r="B10" s="8" t="n">
        <x:v>40</x:v>
      </x:c>
      <x:c r="C10" s="8" t="str">
        <x:v>Non-binary</x:v>
      </x:c>
      <x:c r="D10" s="8" t="str">
        <x:v>North</x:v>
      </x:c>
      <x:c r="E10" s="14" t="n">
        <x:v>107400</x:v>
      </x:c>
      <x:c r="F10" s="8" t="n">
        <x:v>17</x:v>
      </x:c>
      <x:c r="G10" s="14" t="n">
        <x:v>275</x:v>
      </x:c>
      <x:c r="H10" s="14" t="n">
        <x:f>F10*G10</x:f>
        <x:v>4675</x:v>
      </x:c>
      <x:c r="I10" s="8" t="n">
        <x:v>6</x:v>
      </x:c>
      <x:c r="J10" s="8" t="n">
        <x:v>19</x:v>
      </x:c>
      <x:c r="K10" s="17" t="n">
        <x:v>0.6839999999999999</x:v>
      </x:c>
      <x:c r="L10" s="8" t="str">
        <x:v>Technology</x:v>
      </x:c>
      <x:c r="M10" s="8" t="n">
        <x:v>1</x:v>
      </x:c>
      <x:c r="N10" s="9" t="str">
        <x:v>Champions</x:v>
      </x:c>
    </x:row>
    <x:row r="11">
      <x:c r="A11" s="7" t="str">
        <x:v>CUST-1010</x:v>
      </x:c>
      <x:c r="B11" s="8" t="n">
        <x:v>47</x:v>
      </x:c>
      <x:c r="C11" s="8" t="str">
        <x:v>Female</x:v>
      </x:c>
      <x:c r="D11" s="8" t="str">
        <x:v>West</x:v>
      </x:c>
      <x:c r="E11" s="14" t="n">
        <x:v>124600</x:v>
      </x:c>
      <x:c r="F11" s="8" t="n">
        <x:v>20</x:v>
      </x:c>
      <x:c r="G11" s="14" t="n">
        <x:v>310</x:v>
      </x:c>
      <x:c r="H11" s="14" t="n">
        <x:f>F11*G11</x:f>
        <x:v>6200</x:v>
      </x:c>
      <x:c r="I11" s="8" t="n">
        <x:v>27</x:v>
      </x:c>
      <x:c r="J11" s="8" t="n">
        <x:v>23</x:v>
      </x:c>
      <x:c r="K11" s="17" t="n">
        <x:v>0.8099999999999999</x:v>
      </x:c>
      <x:c r="L11" s="8" t="str">
        <x:v>Home &amp; Living</x:v>
      </x:c>
      <x:c r="M11" s="8" t="n">
        <x:v>1</x:v>
      </x:c>
      <x:c r="N11" s="9" t="str">
        <x:v>Champions</x:v>
      </x:c>
    </x:row>
    <x:row r="12">
      <x:c r="A12" s="7" t="str">
        <x:v>CUST-1011</x:v>
      </x:c>
      <x:c r="B12" s="8" t="n">
        <x:v>41</x:v>
      </x:c>
      <x:c r="C12" s="8" t="str">
        <x:v>Male</x:v>
      </x:c>
      <x:c r="D12" s="8" t="str">
        <x:v>East</x:v>
      </x:c>
      <x:c r="E12" s="14" t="n">
        <x:v>111900</x:v>
      </x:c>
      <x:c r="F12" s="8" t="n">
        <x:v>18</x:v>
      </x:c>
      <x:c r="G12" s="14" t="n">
        <x:v>280</x:v>
      </x:c>
      <x:c r="H12" s="14" t="n">
        <x:f>F12*G12</x:f>
        <x:v>5040</x:v>
      </x:c>
      <x:c r="I12" s="8" t="n">
        <x:v>9</x:v>
      </x:c>
      <x:c r="J12" s="8" t="n">
        <x:v>20</x:v>
      </x:c>
      <x:c r="K12" s="17" t="n">
        <x:v>0.702</x:v>
      </x:c>
      <x:c r="L12" s="8" t="str">
        <x:v>Technology</x:v>
      </x:c>
      <x:c r="M12" s="8" t="n">
        <x:v>1</x:v>
      </x:c>
      <x:c r="N12" s="9" t="str">
        <x:v>Champions</x:v>
      </x:c>
    </x:row>
    <x:row r="13">
      <x:c r="A13" s="7" t="str">
        <x:v>CUST-1012</x:v>
      </x:c>
      <x:c r="B13" s="8" t="n">
        <x:v>48</x:v>
      </x:c>
      <x:c r="C13" s="8" t="str">
        <x:v>Non-binary</x:v>
      </x:c>
      <x:c r="D13" s="8" t="str">
        <x:v>South</x:v>
      </x:c>
      <x:c r="E13" s="14" t="n">
        <x:v>129100</x:v>
      </x:c>
      <x:c r="F13" s="8" t="n">
        <x:v>20</x:v>
      </x:c>
      <x:c r="G13" s="14" t="n">
        <x:v>315</x:v>
      </x:c>
      <x:c r="H13" s="14" t="n">
        <x:f>F13*G13</x:f>
        <x:v>6300</x:v>
      </x:c>
      <x:c r="I13" s="8" t="n">
        <x:v>30</x:v>
      </x:c>
      <x:c r="J13" s="8" t="n">
        <x:v>23</x:v>
      </x:c>
      <x:c r="K13" s="17" t="n">
        <x:v>0.828</x:v>
      </x:c>
      <x:c r="L13" s="8" t="str">
        <x:v>Home &amp; Living</x:v>
      </x:c>
      <x:c r="M13" s="8" t="n">
        <x:v>1</x:v>
      </x:c>
      <x:c r="N13" s="9" t="str">
        <x:v>Champions</x:v>
      </x:c>
    </x:row>
    <x:row r="14">
      <x:c r="A14" s="7" t="str">
        <x:v>CUST-1013</x:v>
      </x:c>
      <x:c r="B14" s="8" t="n">
        <x:v>42</x:v>
      </x:c>
      <x:c r="C14" s="8" t="str">
        <x:v>Female</x:v>
      </x:c>
      <x:c r="D14" s="8" t="str">
        <x:v>North</x:v>
      </x:c>
      <x:c r="E14" s="14" t="n">
        <x:v>112000</x:v>
      </x:c>
      <x:c r="F14" s="8" t="n">
        <x:v>18</x:v>
      </x:c>
      <x:c r="G14" s="14" t="n">
        <x:v>285</x:v>
      </x:c>
      <x:c r="H14" s="14" t="n">
        <x:f>F14*G14</x:f>
        <x:v>5130</x:v>
      </x:c>
      <x:c r="I14" s="8" t="n">
        <x:v>12</x:v>
      </x:c>
      <x:c r="J14" s="8" t="n">
        <x:v>20</x:v>
      </x:c>
      <x:c r="K14" s="17" t="n">
        <x:v>0.72</x:v>
      </x:c>
      <x:c r="L14" s="8" t="str">
        <x:v>Technology</x:v>
      </x:c>
      <x:c r="M14" s="8" t="n">
        <x:v>1</x:v>
      </x:c>
      <x:c r="N14" s="9" t="str">
        <x:v>Champions</x:v>
      </x:c>
    </x:row>
    <x:row r="15">
      <x:c r="A15" s="7" t="str">
        <x:v>CUST-1014</x:v>
      </x:c>
      <x:c r="B15" s="8" t="n">
        <x:v>36</x:v>
      </x:c>
      <x:c r="C15" s="8" t="str">
        <x:v>Male</x:v>
      </x:c>
      <x:c r="D15" s="8" t="str">
        <x:v>West</x:v>
      </x:c>
      <x:c r="E15" s="14" t="n">
        <x:v>99300</x:v>
      </x:c>
      <x:c r="F15" s="8" t="n">
        <x:v>16</x:v>
      </x:c>
      <x:c r="G15" s="14" t="n">
        <x:v>255</x:v>
      </x:c>
      <x:c r="H15" s="14" t="n">
        <x:f>F15*G15</x:f>
        <x:v>4080</x:v>
      </x:c>
      <x:c r="I15" s="8" t="n">
        <x:v>1</x:v>
      </x:c>
      <x:c r="J15" s="8" t="n">
        <x:v>17</x:v>
      </x:c>
      <x:c r="K15" s="17" t="n">
        <x:v>0.612</x:v>
      </x:c>
      <x:c r="L15" s="8" t="str">
        <x:v>Home &amp; Living</x:v>
      </x:c>
      <x:c r="M15" s="8" t="n">
        <x:v>1</x:v>
      </x:c>
      <x:c r="N15" s="9" t="str">
        <x:v>Champions</x:v>
      </x:c>
    </x:row>
    <x:row r="16">
      <x:c r="A16" s="7" t="str">
        <x:v>CUST-1015</x:v>
      </x:c>
      <x:c r="B16" s="8" t="n">
        <x:v>43</x:v>
      </x:c>
      <x:c r="C16" s="8" t="str">
        <x:v>Non-binary</x:v>
      </x:c>
      <x:c r="D16" s="8" t="str">
        <x:v>East</x:v>
      </x:c>
      <x:c r="E16" s="14" t="n">
        <x:v>116500</x:v>
      </x:c>
      <x:c r="F16" s="8" t="n">
        <x:v>18</x:v>
      </x:c>
      <x:c r="G16" s="14" t="n">
        <x:v>290</x:v>
      </x:c>
      <x:c r="H16" s="14" t="n">
        <x:f>F16*G16</x:f>
        <x:v>5220</x:v>
      </x:c>
      <x:c r="I16" s="8" t="n">
        <x:v>15</x:v>
      </x:c>
      <x:c r="J16" s="8" t="n">
        <x:v>21</x:v>
      </x:c>
      <x:c r="K16" s="17" t="n">
        <x:v>0.738</x:v>
      </x:c>
      <x:c r="L16" s="8" t="str">
        <x:v>Technology</x:v>
      </x:c>
      <x:c r="M16" s="8" t="n">
        <x:v>1</x:v>
      </x:c>
      <x:c r="N16" s="9" t="str">
        <x:v>Champions</x:v>
      </x:c>
    </x:row>
    <x:row r="17">
      <x:c r="A17" s="7" t="str">
        <x:v>CUST-1016</x:v>
      </x:c>
      <x:c r="B17" s="8" t="n">
        <x:v>37</x:v>
      </x:c>
      <x:c r="C17" s="8" t="str">
        <x:v>Female</x:v>
      </x:c>
      <x:c r="D17" s="8" t="str">
        <x:v>South</x:v>
      </x:c>
      <x:c r="E17" s="14" t="n">
        <x:v>103800</x:v>
      </x:c>
      <x:c r="F17" s="8" t="n">
        <x:v>16</x:v>
      </x:c>
      <x:c r="G17" s="14" t="n">
        <x:v>260</x:v>
      </x:c>
      <x:c r="H17" s="14" t="n">
        <x:f>F17*G17</x:f>
        <x:v>4160</x:v>
      </x:c>
      <x:c r="I17" s="8" t="n">
        <x:v>1</x:v>
      </x:c>
      <x:c r="J17" s="8" t="n">
        <x:v>18</x:v>
      </x:c>
      <x:c r="K17" s="17" t="n">
        <x:v>0.63</x:v>
      </x:c>
      <x:c r="L17" s="8" t="str">
        <x:v>Home &amp; Living</x:v>
      </x:c>
      <x:c r="M17" s="8" t="n">
        <x:v>1</x:v>
      </x:c>
      <x:c r="N17" s="9" t="str">
        <x:v>Champions</x:v>
      </x:c>
    </x:row>
    <x:row r="18">
      <x:c r="A18" s="7" t="str">
        <x:v>CUST-1017</x:v>
      </x:c>
      <x:c r="B18" s="8" t="n">
        <x:v>44</x:v>
      </x:c>
      <x:c r="C18" s="8" t="str">
        <x:v>Male</x:v>
      </x:c>
      <x:c r="D18" s="8" t="str">
        <x:v>North</x:v>
      </x:c>
      <x:c r="E18" s="14" t="n">
        <x:v>116600</x:v>
      </x:c>
      <x:c r="F18" s="8" t="n">
        <x:v>19</x:v>
      </x:c>
      <x:c r="G18" s="14" t="n">
        <x:v>295</x:v>
      </x:c>
      <x:c r="H18" s="14" t="n">
        <x:f>F18*G18</x:f>
        <x:v>5605</x:v>
      </x:c>
      <x:c r="I18" s="8" t="n">
        <x:v>18</x:v>
      </x:c>
      <x:c r="J18" s="8" t="n">
        <x:v>21</x:v>
      </x:c>
      <x:c r="K18" s="17" t="n">
        <x:v>0.756</x:v>
      </x:c>
      <x:c r="L18" s="8" t="str">
        <x:v>Technology</x:v>
      </x:c>
      <x:c r="M18" s="8" t="n">
        <x:v>1</x:v>
      </x:c>
      <x:c r="N18" s="9" t="str">
        <x:v>Champions</x:v>
      </x:c>
    </x:row>
    <x:row r="19">
      <x:c r="A19" s="7" t="str">
        <x:v>CUST-1018</x:v>
      </x:c>
      <x:c r="B19" s="8" t="n">
        <x:v>38</x:v>
      </x:c>
      <x:c r="C19" s="8" t="str">
        <x:v>Non-binary</x:v>
      </x:c>
      <x:c r="D19" s="8" t="str">
        <x:v>West</x:v>
      </x:c>
      <x:c r="E19" s="14" t="n">
        <x:v>103900</x:v>
      </x:c>
      <x:c r="F19" s="8" t="n">
        <x:v>17</x:v>
      </x:c>
      <x:c r="G19" s="14" t="n">
        <x:v>265</x:v>
      </x:c>
      <x:c r="H19" s="14" t="n">
        <x:f>F19*G19</x:f>
        <x:v>4505</x:v>
      </x:c>
      <x:c r="I19" s="8" t="n">
        <x:v>1</x:v>
      </x:c>
      <x:c r="J19" s="8" t="n">
        <x:v>18</x:v>
      </x:c>
      <x:c r="K19" s="17" t="n">
        <x:v>0.648</x:v>
      </x:c>
      <x:c r="L19" s="8" t="str">
        <x:v>Home &amp; Living</x:v>
      </x:c>
      <x:c r="M19" s="8" t="n">
        <x:v>1</x:v>
      </x:c>
      <x:c r="N19" s="9" t="str">
        <x:v>Champions</x:v>
      </x:c>
    </x:row>
    <x:row r="20">
      <x:c r="A20" s="7" t="str">
        <x:v>CUST-1019</x:v>
      </x:c>
      <x:c r="B20" s="8" t="n">
        <x:v>45</x:v>
      </x:c>
      <x:c r="C20" s="8" t="str">
        <x:v>Female</x:v>
      </x:c>
      <x:c r="D20" s="8" t="str">
        <x:v>East</x:v>
      </x:c>
      <x:c r="E20" s="14" t="n">
        <x:v>121100</x:v>
      </x:c>
      <x:c r="F20" s="8" t="n">
        <x:v>19</x:v>
      </x:c>
      <x:c r="G20" s="14" t="n">
        <x:v>300</x:v>
      </x:c>
      <x:c r="H20" s="14" t="n">
        <x:f>F20*G20</x:f>
        <x:v>5700</x:v>
      </x:c>
      <x:c r="I20" s="8" t="n">
        <x:v>21</x:v>
      </x:c>
      <x:c r="J20" s="8" t="n">
        <x:v>22</x:v>
      </x:c>
      <x:c r="K20" s="17" t="n">
        <x:v>0.774</x:v>
      </x:c>
      <x:c r="L20" s="8" t="str">
        <x:v>Technology</x:v>
      </x:c>
      <x:c r="M20" s="8" t="n">
        <x:v>1</x:v>
      </x:c>
      <x:c r="N20" s="9" t="str">
        <x:v>Champions</x:v>
      </x:c>
    </x:row>
    <x:row r="21">
      <x:c r="A21" s="7" t="str">
        <x:v>CUST-1020</x:v>
      </x:c>
      <x:c r="B21" s="8" t="n">
        <x:v>39</x:v>
      </x:c>
      <x:c r="C21" s="8" t="str">
        <x:v>Male</x:v>
      </x:c>
      <x:c r="D21" s="8" t="str">
        <x:v>South</x:v>
      </x:c>
      <x:c r="E21" s="14" t="n">
        <x:v>108400</x:v>
      </x:c>
      <x:c r="F21" s="8" t="n">
        <x:v>17</x:v>
      </x:c>
      <x:c r="G21" s="14" t="n">
        <x:v>270</x:v>
      </x:c>
      <x:c r="H21" s="14" t="n">
        <x:f>F21*G21</x:f>
        <x:v>4590</x:v>
      </x:c>
      <x:c r="I21" s="8" t="n">
        <x:v>3</x:v>
      </x:c>
      <x:c r="J21" s="8" t="n">
        <x:v>19</x:v>
      </x:c>
      <x:c r="K21" s="17" t="n">
        <x:v>0.6659999999999999</x:v>
      </x:c>
      <x:c r="L21" s="8" t="str">
        <x:v>Home &amp; Living</x:v>
      </x:c>
      <x:c r="M21" s="8" t="n">
        <x:v>1</x:v>
      </x:c>
      <x:c r="N21" s="9" t="str">
        <x:v>Champions</x:v>
      </x:c>
    </x:row>
    <x:row r="22">
      <x:c r="A22" s="7" t="str">
        <x:v>CUST-1021</x:v>
      </x:c>
      <x:c r="B22" s="8" t="n">
        <x:v>46</x:v>
      </x:c>
      <x:c r="C22" s="8" t="str">
        <x:v>Non-binary</x:v>
      </x:c>
      <x:c r="D22" s="8" t="str">
        <x:v>North</x:v>
      </x:c>
      <x:c r="E22" s="14" t="n">
        <x:v>121200</x:v>
      </x:c>
      <x:c r="F22" s="8" t="n">
        <x:v>19</x:v>
      </x:c>
      <x:c r="G22" s="14" t="n">
        <x:v>305</x:v>
      </x:c>
      <x:c r="H22" s="14" t="n">
        <x:f>F22*G22</x:f>
        <x:v>5795</x:v>
      </x:c>
      <x:c r="I22" s="8" t="n">
        <x:v>24</x:v>
      </x:c>
      <x:c r="J22" s="8" t="n">
        <x:v>22</x:v>
      </x:c>
      <x:c r="K22" s="17" t="n">
        <x:v>0.7919999999999999</x:v>
      </x:c>
      <x:c r="L22" s="8" t="str">
        <x:v>Technology</x:v>
      </x:c>
      <x:c r="M22" s="8" t="n">
        <x:v>1</x:v>
      </x:c>
      <x:c r="N22" s="9" t="str">
        <x:v>Champions</x:v>
      </x:c>
    </x:row>
    <x:row r="23">
      <x:c r="A23" s="7" t="str">
        <x:v>CUST-1022</x:v>
      </x:c>
      <x:c r="B23" s="8" t="n">
        <x:v>40</x:v>
      </x:c>
      <x:c r="C23" s="8" t="str">
        <x:v>Female</x:v>
      </x:c>
      <x:c r="D23" s="8" t="str">
        <x:v>West</x:v>
      </x:c>
      <x:c r="E23" s="14" t="n">
        <x:v>108500</x:v>
      </x:c>
      <x:c r="F23" s="8" t="n">
        <x:v>17</x:v>
      </x:c>
      <x:c r="G23" s="14" t="n">
        <x:v>275</x:v>
      </x:c>
      <x:c r="H23" s="14" t="n">
        <x:f>F23*G23</x:f>
        <x:v>4675</x:v>
      </x:c>
      <x:c r="I23" s="8" t="n">
        <x:v>6</x:v>
      </x:c>
      <x:c r="J23" s="8" t="n">
        <x:v>19</x:v>
      </x:c>
      <x:c r="K23" s="17" t="n">
        <x:v>0.6839999999999999</x:v>
      </x:c>
      <x:c r="L23" s="8" t="str">
        <x:v>Home &amp; Living</x:v>
      </x:c>
      <x:c r="M23" s="8" t="n">
        <x:v>1</x:v>
      </x:c>
      <x:c r="N23" s="9" t="str">
        <x:v>Champions</x:v>
      </x:c>
    </x:row>
    <x:row r="24">
      <x:c r="A24" s="7" t="str">
        <x:v>CUST-1023</x:v>
      </x:c>
      <x:c r="B24" s="8" t="n">
        <x:v>47</x:v>
      </x:c>
      <x:c r="C24" s="8" t="str">
        <x:v>Male</x:v>
      </x:c>
      <x:c r="D24" s="8" t="str">
        <x:v>East</x:v>
      </x:c>
      <x:c r="E24" s="14" t="n">
        <x:v>125700</x:v>
      </x:c>
      <x:c r="F24" s="8" t="n">
        <x:v>20</x:v>
      </x:c>
      <x:c r="G24" s="14" t="n">
        <x:v>310</x:v>
      </x:c>
      <x:c r="H24" s="14" t="n">
        <x:f>F24*G24</x:f>
        <x:v>6200</x:v>
      </x:c>
      <x:c r="I24" s="8" t="n">
        <x:v>27</x:v>
      </x:c>
      <x:c r="J24" s="8" t="n">
        <x:v>23</x:v>
      </x:c>
      <x:c r="K24" s="17" t="n">
        <x:v>0.8099999999999999</x:v>
      </x:c>
      <x:c r="L24" s="8" t="str">
        <x:v>Technology</x:v>
      </x:c>
      <x:c r="M24" s="8" t="n">
        <x:v>1</x:v>
      </x:c>
      <x:c r="N24" s="9" t="str">
        <x:v>Champions</x:v>
      </x:c>
    </x:row>
    <x:row r="25">
      <x:c r="A25" s="7" t="str">
        <x:v>CUST-1024</x:v>
      </x:c>
      <x:c r="B25" s="8" t="n">
        <x:v>41</x:v>
      </x:c>
      <x:c r="C25" s="8" t="str">
        <x:v>Non-binary</x:v>
      </x:c>
      <x:c r="D25" s="8" t="str">
        <x:v>South</x:v>
      </x:c>
      <x:c r="E25" s="14" t="n">
        <x:v>113000</x:v>
      </x:c>
      <x:c r="F25" s="8" t="n">
        <x:v>18</x:v>
      </x:c>
      <x:c r="G25" s="14" t="n">
        <x:v>280</x:v>
      </x:c>
      <x:c r="H25" s="14" t="n">
        <x:f>F25*G25</x:f>
        <x:v>5040</x:v>
      </x:c>
      <x:c r="I25" s="8" t="n">
        <x:v>9</x:v>
      </x:c>
      <x:c r="J25" s="8" t="n">
        <x:v>20</x:v>
      </x:c>
      <x:c r="K25" s="17" t="n">
        <x:v>0.702</x:v>
      </x:c>
      <x:c r="L25" s="8" t="str">
        <x:v>Home &amp; Living</x:v>
      </x:c>
      <x:c r="M25" s="8" t="n">
        <x:v>1</x:v>
      </x:c>
      <x:c r="N25" s="9" t="str">
        <x:v>Champions</x:v>
      </x:c>
    </x:row>
    <x:row r="26">
      <x:c r="A26" s="7" t="str">
        <x:v>CUST-1025</x:v>
      </x:c>
      <x:c r="B26" s="8" t="n">
        <x:v>48</x:v>
      </x:c>
      <x:c r="C26" s="8" t="str">
        <x:v>Female</x:v>
      </x:c>
      <x:c r="D26" s="8" t="str">
        <x:v>North</x:v>
      </x:c>
      <x:c r="E26" s="14" t="n">
        <x:v>125800</x:v>
      </x:c>
      <x:c r="F26" s="8" t="n">
        <x:v>20</x:v>
      </x:c>
      <x:c r="G26" s="14" t="n">
        <x:v>315</x:v>
      </x:c>
      <x:c r="H26" s="14" t="n">
        <x:f>F26*G26</x:f>
        <x:v>6300</x:v>
      </x:c>
      <x:c r="I26" s="8" t="n">
        <x:v>30</x:v>
      </x:c>
      <x:c r="J26" s="8" t="n">
        <x:v>23</x:v>
      </x:c>
      <x:c r="K26" s="17" t="n">
        <x:v>0.828</x:v>
      </x:c>
      <x:c r="L26" s="8" t="str">
        <x:v>Technology</x:v>
      </x:c>
      <x:c r="M26" s="8" t="n">
        <x:v>1</x:v>
      </x:c>
      <x:c r="N26" s="9" t="str">
        <x:v>Champions</x:v>
      </x:c>
    </x:row>
    <x:row r="27">
      <x:c r="A27" s="7" t="str">
        <x:v>CUST-1026</x:v>
      </x:c>
      <x:c r="B27" s="8" t="n">
        <x:v>42</x:v>
      </x:c>
      <x:c r="C27" s="8" t="str">
        <x:v>Male</x:v>
      </x:c>
      <x:c r="D27" s="8" t="str">
        <x:v>West</x:v>
      </x:c>
      <x:c r="E27" s="14" t="n">
        <x:v>113100</x:v>
      </x:c>
      <x:c r="F27" s="8" t="n">
        <x:v>18</x:v>
      </x:c>
      <x:c r="G27" s="14" t="n">
        <x:v>285</x:v>
      </x:c>
      <x:c r="H27" s="14" t="n">
        <x:f>F27*G27</x:f>
        <x:v>5130</x:v>
      </x:c>
      <x:c r="I27" s="8" t="n">
        <x:v>12</x:v>
      </x:c>
      <x:c r="J27" s="8" t="n">
        <x:v>20</x:v>
      </x:c>
      <x:c r="K27" s="17" t="n">
        <x:v>0.72</x:v>
      </x:c>
      <x:c r="L27" s="8" t="str">
        <x:v>Home &amp; Living</x:v>
      </x:c>
      <x:c r="M27" s="8" t="n">
        <x:v>1</x:v>
      </x:c>
      <x:c r="N27" s="9" t="str">
        <x:v>Champions</x:v>
      </x:c>
    </x:row>
    <x:row r="28">
      <x:c r="A28" s="7" t="str">
        <x:v>CUST-1027</x:v>
      </x:c>
      <x:c r="B28" s="8" t="n">
        <x:v>36</x:v>
      </x:c>
      <x:c r="C28" s="8" t="str">
        <x:v>Non-binary</x:v>
      </x:c>
      <x:c r="D28" s="8" t="str">
        <x:v>East</x:v>
      </x:c>
      <x:c r="E28" s="14" t="n">
        <x:v>100400</x:v>
      </x:c>
      <x:c r="F28" s="8" t="n">
        <x:v>16</x:v>
      </x:c>
      <x:c r="G28" s="14" t="n">
        <x:v>255</x:v>
      </x:c>
      <x:c r="H28" s="14" t="n">
        <x:f>F28*G28</x:f>
        <x:v>4080</x:v>
      </x:c>
      <x:c r="I28" s="8" t="n">
        <x:v>1</x:v>
      </x:c>
      <x:c r="J28" s="8" t="n">
        <x:v>17</x:v>
      </x:c>
      <x:c r="K28" s="17" t="n">
        <x:v>0.612</x:v>
      </x:c>
      <x:c r="L28" s="8" t="str">
        <x:v>Technology</x:v>
      </x:c>
      <x:c r="M28" s="8" t="n">
        <x:v>1</x:v>
      </x:c>
      <x:c r="N28" s="9" t="str">
        <x:v>Champions</x:v>
      </x:c>
    </x:row>
    <x:row r="29">
      <x:c r="A29" s="7" t="str">
        <x:v>CUST-1028</x:v>
      </x:c>
      <x:c r="B29" s="8" t="n">
        <x:v>43</x:v>
      </x:c>
      <x:c r="C29" s="8" t="str">
        <x:v>Female</x:v>
      </x:c>
      <x:c r="D29" s="8" t="str">
        <x:v>South</x:v>
      </x:c>
      <x:c r="E29" s="14" t="n">
        <x:v>117600</x:v>
      </x:c>
      <x:c r="F29" s="8" t="n">
        <x:v>18</x:v>
      </x:c>
      <x:c r="G29" s="14" t="n">
        <x:v>290</x:v>
      </x:c>
      <x:c r="H29" s="14" t="n">
        <x:f>F29*G29</x:f>
        <x:v>5220</x:v>
      </x:c>
      <x:c r="I29" s="8" t="n">
        <x:v>15</x:v>
      </x:c>
      <x:c r="J29" s="8" t="n">
        <x:v>21</x:v>
      </x:c>
      <x:c r="K29" s="17" t="n">
        <x:v>0.738</x:v>
      </x:c>
      <x:c r="L29" s="8" t="str">
        <x:v>Home &amp; Living</x:v>
      </x:c>
      <x:c r="M29" s="8" t="n">
        <x:v>1</x:v>
      </x:c>
      <x:c r="N29" s="9" t="str">
        <x:v>Champions</x:v>
      </x:c>
    </x:row>
    <x:row r="30">
      <x:c r="A30" s="7" t="str">
        <x:v>CUST-1029</x:v>
      </x:c>
      <x:c r="B30" s="8" t="n">
        <x:v>37</x:v>
      </x:c>
      <x:c r="C30" s="8" t="str">
        <x:v>Male</x:v>
      </x:c>
      <x:c r="D30" s="8" t="str">
        <x:v>North</x:v>
      </x:c>
      <x:c r="E30" s="14" t="n">
        <x:v>100500</x:v>
      </x:c>
      <x:c r="F30" s="8" t="n">
        <x:v>16</x:v>
      </x:c>
      <x:c r="G30" s="14" t="n">
        <x:v>260</x:v>
      </x:c>
      <x:c r="H30" s="14" t="n">
        <x:f>F30*G30</x:f>
        <x:v>4160</x:v>
      </x:c>
      <x:c r="I30" s="8" t="n">
        <x:v>1</x:v>
      </x:c>
      <x:c r="J30" s="8" t="n">
        <x:v>18</x:v>
      </x:c>
      <x:c r="K30" s="17" t="n">
        <x:v>0.63</x:v>
      </x:c>
      <x:c r="L30" s="8" t="str">
        <x:v>Technology</x:v>
      </x:c>
      <x:c r="M30" s="8" t="n">
        <x:v>1</x:v>
      </x:c>
      <x:c r="N30" s="9" t="str">
        <x:v>Champions</x:v>
      </x:c>
    </x:row>
    <x:row r="31">
      <x:c r="A31" s="7" t="str">
        <x:v>CUST-1030</x:v>
      </x:c>
      <x:c r="B31" s="8" t="n">
        <x:v>44</x:v>
      </x:c>
      <x:c r="C31" s="8" t="str">
        <x:v>Non-binary</x:v>
      </x:c>
      <x:c r="D31" s="8" t="str">
        <x:v>West</x:v>
      </x:c>
      <x:c r="E31" s="14" t="n">
        <x:v>117700</x:v>
      </x:c>
      <x:c r="F31" s="8" t="n">
        <x:v>19</x:v>
      </x:c>
      <x:c r="G31" s="14" t="n">
        <x:v>295</x:v>
      </x:c>
      <x:c r="H31" s="14" t="n">
        <x:f>F31*G31</x:f>
        <x:v>5605</x:v>
      </x:c>
      <x:c r="I31" s="8" t="n">
        <x:v>18</x:v>
      </x:c>
      <x:c r="J31" s="8" t="n">
        <x:v>21</x:v>
      </x:c>
      <x:c r="K31" s="17" t="n">
        <x:v>0.756</x:v>
      </x:c>
      <x:c r="L31" s="8" t="str">
        <x:v>Home &amp; Living</x:v>
      </x:c>
      <x:c r="M31" s="8" t="n">
        <x:v>1</x:v>
      </x:c>
      <x:c r="N31" s="9" t="str">
        <x:v>Champions</x:v>
      </x:c>
    </x:row>
    <x:row r="32">
      <x:c r="A32" s="7" t="str">
        <x:v>CUST-1031</x:v>
      </x:c>
      <x:c r="B32" s="8" t="n">
        <x:v>38</x:v>
      </x:c>
      <x:c r="C32" s="8" t="str">
        <x:v>Female</x:v>
      </x:c>
      <x:c r="D32" s="8" t="str">
        <x:v>East</x:v>
      </x:c>
      <x:c r="E32" s="14" t="n">
        <x:v>105000</x:v>
      </x:c>
      <x:c r="F32" s="8" t="n">
        <x:v>17</x:v>
      </x:c>
      <x:c r="G32" s="14" t="n">
        <x:v>265</x:v>
      </x:c>
      <x:c r="H32" s="14" t="n">
        <x:f>F32*G32</x:f>
        <x:v>4505</x:v>
      </x:c>
      <x:c r="I32" s="8" t="n">
        <x:v>1</x:v>
      </x:c>
      <x:c r="J32" s="8" t="n">
        <x:v>18</x:v>
      </x:c>
      <x:c r="K32" s="17" t="n">
        <x:v>0.648</x:v>
      </x:c>
      <x:c r="L32" s="8" t="str">
        <x:v>Technology</x:v>
      </x:c>
      <x:c r="M32" s="8" t="n">
        <x:v>1</x:v>
      </x:c>
      <x:c r="N32" s="9" t="str">
        <x:v>Champions</x:v>
      </x:c>
    </x:row>
    <x:row r="33">
      <x:c r="A33" s="7" t="str">
        <x:v>CUST-1032</x:v>
      </x:c>
      <x:c r="B33" s="8" t="n">
        <x:v>45</x:v>
      </x:c>
      <x:c r="C33" s="8" t="str">
        <x:v>Male</x:v>
      </x:c>
      <x:c r="D33" s="8" t="str">
        <x:v>South</x:v>
      </x:c>
      <x:c r="E33" s="14" t="n">
        <x:v>122200</x:v>
      </x:c>
      <x:c r="F33" s="8" t="n">
        <x:v>19</x:v>
      </x:c>
      <x:c r="G33" s="14" t="n">
        <x:v>300</x:v>
      </x:c>
      <x:c r="H33" s="14" t="n">
        <x:f>F33*G33</x:f>
        <x:v>5700</x:v>
      </x:c>
      <x:c r="I33" s="8" t="n">
        <x:v>21</x:v>
      </x:c>
      <x:c r="J33" s="8" t="n">
        <x:v>22</x:v>
      </x:c>
      <x:c r="K33" s="17" t="n">
        <x:v>0.774</x:v>
      </x:c>
      <x:c r="L33" s="8" t="str">
        <x:v>Home &amp; Living</x:v>
      </x:c>
      <x:c r="M33" s="8" t="n">
        <x:v>1</x:v>
      </x:c>
      <x:c r="N33" s="9" t="str">
        <x:v>Champions</x:v>
      </x:c>
    </x:row>
    <x:row r="34">
      <x:c r="A34" s="7" t="str">
        <x:v>CUST-1033</x:v>
      </x:c>
      <x:c r="B34" s="8" t="n">
        <x:v>39</x:v>
      </x:c>
      <x:c r="C34" s="8" t="str">
        <x:v>Non-binary</x:v>
      </x:c>
      <x:c r="D34" s="8" t="str">
        <x:v>North</x:v>
      </x:c>
      <x:c r="E34" s="14" t="n">
        <x:v>105100</x:v>
      </x:c>
      <x:c r="F34" s="8" t="n">
        <x:v>17</x:v>
      </x:c>
      <x:c r="G34" s="14" t="n">
        <x:v>270</x:v>
      </x:c>
      <x:c r="H34" s="14" t="n">
        <x:f>F34*G34</x:f>
        <x:v>4590</x:v>
      </x:c>
      <x:c r="I34" s="8" t="n">
        <x:v>3</x:v>
      </x:c>
      <x:c r="J34" s="8" t="n">
        <x:v>19</x:v>
      </x:c>
      <x:c r="K34" s="17" t="n">
        <x:v>0.6659999999999999</x:v>
      </x:c>
      <x:c r="L34" s="8" t="str">
        <x:v>Technology</x:v>
      </x:c>
      <x:c r="M34" s="8" t="n">
        <x:v>1</x:v>
      </x:c>
      <x:c r="N34" s="9" t="str">
        <x:v>Champions</x:v>
      </x:c>
    </x:row>
    <x:row r="35">
      <x:c r="A35" s="7" t="str">
        <x:v>CUST-1034</x:v>
      </x:c>
      <x:c r="B35" s="8" t="n">
        <x:v>46</x:v>
      </x:c>
      <x:c r="C35" s="8" t="str">
        <x:v>Female</x:v>
      </x:c>
      <x:c r="D35" s="8" t="str">
        <x:v>West</x:v>
      </x:c>
      <x:c r="E35" s="14" t="n">
        <x:v>122300</x:v>
      </x:c>
      <x:c r="F35" s="8" t="n">
        <x:v>19</x:v>
      </x:c>
      <x:c r="G35" s="14" t="n">
        <x:v>305</x:v>
      </x:c>
      <x:c r="H35" s="14" t="n">
        <x:f>F35*G35</x:f>
        <x:v>5795</x:v>
      </x:c>
      <x:c r="I35" s="8" t="n">
        <x:v>24</x:v>
      </x:c>
      <x:c r="J35" s="8" t="n">
        <x:v>22</x:v>
      </x:c>
      <x:c r="K35" s="17" t="n">
        <x:v>0.7919999999999999</x:v>
      </x:c>
      <x:c r="L35" s="8" t="str">
        <x:v>Home &amp; Living</x:v>
      </x:c>
      <x:c r="M35" s="8" t="n">
        <x:v>1</x:v>
      </x:c>
      <x:c r="N35" s="9" t="str">
        <x:v>Champions</x:v>
      </x:c>
    </x:row>
    <x:row r="36">
      <x:c r="A36" s="7" t="str">
        <x:v>CUST-1035</x:v>
      </x:c>
      <x:c r="B36" s="8" t="n">
        <x:v>40</x:v>
      </x:c>
      <x:c r="C36" s="8" t="str">
        <x:v>Male</x:v>
      </x:c>
      <x:c r="D36" s="8" t="str">
        <x:v>East</x:v>
      </x:c>
      <x:c r="E36" s="14" t="n">
        <x:v>109600</x:v>
      </x:c>
      <x:c r="F36" s="8" t="n">
        <x:v>17</x:v>
      </x:c>
      <x:c r="G36" s="14" t="n">
        <x:v>275</x:v>
      </x:c>
      <x:c r="H36" s="14" t="n">
        <x:f>F36*G36</x:f>
        <x:v>4675</x:v>
      </x:c>
      <x:c r="I36" s="8" t="n">
        <x:v>6</x:v>
      </x:c>
      <x:c r="J36" s="8" t="n">
        <x:v>19</x:v>
      </x:c>
      <x:c r="K36" s="17" t="n">
        <x:v>0.6839999999999999</x:v>
      </x:c>
      <x:c r="L36" s="8" t="str">
        <x:v>Technology</x:v>
      </x:c>
      <x:c r="M36" s="8" t="n">
        <x:v>1</x:v>
      </x:c>
      <x:c r="N36" s="9" t="str">
        <x:v>Champions</x:v>
      </x:c>
    </x:row>
    <x:row r="37">
      <x:c r="A37" s="7" t="str">
        <x:v>CUST-1036</x:v>
      </x:c>
      <x:c r="B37" s="8" t="n">
        <x:v>47</x:v>
      </x:c>
      <x:c r="C37" s="8" t="str">
        <x:v>Non-binary</x:v>
      </x:c>
      <x:c r="D37" s="8" t="str">
        <x:v>South</x:v>
      </x:c>
      <x:c r="E37" s="14" t="n">
        <x:v>126800</x:v>
      </x:c>
      <x:c r="F37" s="8" t="n">
        <x:v>20</x:v>
      </x:c>
      <x:c r="G37" s="14" t="n">
        <x:v>310</x:v>
      </x:c>
      <x:c r="H37" s="14" t="n">
        <x:f>F37*G37</x:f>
        <x:v>6200</x:v>
      </x:c>
      <x:c r="I37" s="8" t="n">
        <x:v>27</x:v>
      </x:c>
      <x:c r="J37" s="8" t="n">
        <x:v>23</x:v>
      </x:c>
      <x:c r="K37" s="17" t="n">
        <x:v>0.8099999999999999</x:v>
      </x:c>
      <x:c r="L37" s="8" t="str">
        <x:v>Home &amp; Living</x:v>
      </x:c>
      <x:c r="M37" s="8" t="n">
        <x:v>1</x:v>
      </x:c>
      <x:c r="N37" s="9" t="str">
        <x:v>Champions</x:v>
      </x:c>
    </x:row>
    <x:row r="38">
      <x:c r="A38" s="7" t="str">
        <x:v>CUST-1037</x:v>
      </x:c>
      <x:c r="B38" s="8" t="n">
        <x:v>41</x:v>
      </x:c>
      <x:c r="C38" s="8" t="str">
        <x:v>Female</x:v>
      </x:c>
      <x:c r="D38" s="8" t="str">
        <x:v>North</x:v>
      </x:c>
      <x:c r="E38" s="14" t="n">
        <x:v>109700</x:v>
      </x:c>
      <x:c r="F38" s="8" t="n">
        <x:v>18</x:v>
      </x:c>
      <x:c r="G38" s="14" t="n">
        <x:v>280</x:v>
      </x:c>
      <x:c r="H38" s="14" t="n">
        <x:f>F38*G38</x:f>
        <x:v>5040</x:v>
      </x:c>
      <x:c r="I38" s="8" t="n">
        <x:v>9</x:v>
      </x:c>
      <x:c r="J38" s="8" t="n">
        <x:v>20</x:v>
      </x:c>
      <x:c r="K38" s="17" t="n">
        <x:v>0.702</x:v>
      </x:c>
      <x:c r="L38" s="8" t="str">
        <x:v>Technology</x:v>
      </x:c>
      <x:c r="M38" s="8" t="n">
        <x:v>1</x:v>
      </x:c>
      <x:c r="N38" s="9" t="str">
        <x:v>Champions</x:v>
      </x:c>
    </x:row>
    <x:row r="39">
      <x:c r="A39" s="7" t="str">
        <x:v>CUST-1038</x:v>
      </x:c>
      <x:c r="B39" s="8" t="n">
        <x:v>48</x:v>
      </x:c>
      <x:c r="C39" s="8" t="str">
        <x:v>Male</x:v>
      </x:c>
      <x:c r="D39" s="8" t="str">
        <x:v>West</x:v>
      </x:c>
      <x:c r="E39" s="14" t="n">
        <x:v>126900</x:v>
      </x:c>
      <x:c r="F39" s="8" t="n">
        <x:v>20</x:v>
      </x:c>
      <x:c r="G39" s="14" t="n">
        <x:v>315</x:v>
      </x:c>
      <x:c r="H39" s="14" t="n">
        <x:f>F39*G39</x:f>
        <x:v>6300</x:v>
      </x:c>
      <x:c r="I39" s="8" t="n">
        <x:v>30</x:v>
      </x:c>
      <x:c r="J39" s="8" t="n">
        <x:v>23</x:v>
      </x:c>
      <x:c r="K39" s="17" t="n">
        <x:v>0.828</x:v>
      </x:c>
      <x:c r="L39" s="8" t="str">
        <x:v>Home &amp; Living</x:v>
      </x:c>
      <x:c r="M39" s="8" t="n">
        <x:v>1</x:v>
      </x:c>
      <x:c r="N39" s="9" t="str">
        <x:v>Champions</x:v>
      </x:c>
    </x:row>
    <x:row r="40">
      <x:c r="A40" s="7" t="str">
        <x:v>CUST-1039</x:v>
      </x:c>
      <x:c r="B40" s="8" t="n">
        <x:v>42</x:v>
      </x:c>
      <x:c r="C40" s="8" t="str">
        <x:v>Non-binary</x:v>
      </x:c>
      <x:c r="D40" s="8" t="str">
        <x:v>East</x:v>
      </x:c>
      <x:c r="E40" s="14" t="n">
        <x:v>114200</x:v>
      </x:c>
      <x:c r="F40" s="8" t="n">
        <x:v>18</x:v>
      </x:c>
      <x:c r="G40" s="14" t="n">
        <x:v>285</x:v>
      </x:c>
      <x:c r="H40" s="14" t="n">
        <x:f>F40*G40</x:f>
        <x:v>5130</x:v>
      </x:c>
      <x:c r="I40" s="8" t="n">
        <x:v>12</x:v>
      </x:c>
      <x:c r="J40" s="8" t="n">
        <x:v>20</x:v>
      </x:c>
      <x:c r="K40" s="17" t="n">
        <x:v>0.72</x:v>
      </x:c>
      <x:c r="L40" s="8" t="str">
        <x:v>Technology</x:v>
      </x:c>
      <x:c r="M40" s="8" t="n">
        <x:v>1</x:v>
      </x:c>
      <x:c r="N40" s="9" t="str">
        <x:v>Champions</x:v>
      </x:c>
    </x:row>
    <x:row r="41">
      <x:c r="A41" s="7" t="str">
        <x:v>CUST-1040</x:v>
      </x:c>
      <x:c r="B41" s="8" t="n">
        <x:v>36</x:v>
      </x:c>
      <x:c r="C41" s="8" t="str">
        <x:v>Female</x:v>
      </x:c>
      <x:c r="D41" s="8" t="str">
        <x:v>South</x:v>
      </x:c>
      <x:c r="E41" s="14" t="n">
        <x:v>101500</x:v>
      </x:c>
      <x:c r="F41" s="8" t="n">
        <x:v>16</x:v>
      </x:c>
      <x:c r="G41" s="14" t="n">
        <x:v>255</x:v>
      </x:c>
      <x:c r="H41" s="14" t="n">
        <x:f>F41*G41</x:f>
        <x:v>4080</x:v>
      </x:c>
      <x:c r="I41" s="8" t="n">
        <x:v>1</x:v>
      </x:c>
      <x:c r="J41" s="8" t="n">
        <x:v>17</x:v>
      </x:c>
      <x:c r="K41" s="17" t="n">
        <x:v>0.612</x:v>
      </x:c>
      <x:c r="L41" s="8" t="str">
        <x:v>Home &amp; Living</x:v>
      </x:c>
      <x:c r="M41" s="8" t="n">
        <x:v>1</x:v>
      </x:c>
      <x:c r="N41" s="9" t="str">
        <x:v>Champions</x:v>
      </x:c>
    </x:row>
    <x:row r="42">
      <x:c r="A42" s="7" t="str">
        <x:v>CUST-1041</x:v>
      </x:c>
      <x:c r="B42" s="8" t="n">
        <x:v>40</x:v>
      </x:c>
      <x:c r="C42" s="8" t="str">
        <x:v>Male</x:v>
      </x:c>
      <x:c r="D42" s="8" t="str">
        <x:v>South</x:v>
      </x:c>
      <x:c r="E42" s="14" t="n">
        <x:v>83500</x:v>
      </x:c>
      <x:c r="F42" s="8" t="n">
        <x:v>15</x:v>
      </x:c>
      <x:c r="G42" s="14" t="n">
        <x:v>155</x:v>
      </x:c>
      <x:c r="H42" s="14" t="n">
        <x:f>F42*G42</x:f>
        <x:v>2325</x:v>
      </x:c>
      <x:c r="I42" s="8" t="n">
        <x:v>39</x:v>
      </x:c>
      <x:c r="J42" s="8" t="n">
        <x:v>18</x:v>
      </x:c>
      <x:c r="K42" s="17" t="n">
        <x:v>0.7</x:v>
      </x:c>
      <x:c r="L42" s="8" t="str">
        <x:v>Fashion</x:v>
      </x:c>
      <x:c r="M42" s="8" t="n">
        <x:v>2</x:v>
      </x:c>
      <x:c r="N42" s="9" t="str">
        <x:v>Loyal Customers</x:v>
      </x:c>
    </x:row>
    <x:row r="43">
      <x:c r="A43" s="7" t="str">
        <x:v>CUST-1042</x:v>
      </x:c>
      <x:c r="B43" s="8" t="n">
        <x:v>34</x:v>
      </x:c>
      <x:c r="C43" s="8" t="str">
        <x:v>Non-binary</x:v>
      </x:c>
      <x:c r="D43" s="8" t="str">
        <x:v>North</x:v>
      </x:c>
      <x:c r="E43" s="14" t="n">
        <x:v>70800</x:v>
      </x:c>
      <x:c r="F43" s="8" t="n">
        <x:v>13</x:v>
      </x:c>
      <x:c r="G43" s="14" t="n">
        <x:v>125</x:v>
      </x:c>
      <x:c r="H43" s="14" t="n">
        <x:f>F43*G43</x:f>
        <x:v>1625</x:v>
      </x:c>
      <x:c r="I43" s="8" t="n">
        <x:v>21</x:v>
      </x:c>
      <x:c r="J43" s="8" t="n">
        <x:v>15</x:v>
      </x:c>
      <x:c r="K43" s="17" t="n">
        <x:v>0.592</x:v>
      </x:c>
      <x:c r="L43" s="8" t="str">
        <x:v>Beauty</x:v>
      </x:c>
      <x:c r="M43" s="8" t="n">
        <x:v>2</x:v>
      </x:c>
      <x:c r="N43" s="9" t="str">
        <x:v>Loyal Customers</x:v>
      </x:c>
    </x:row>
    <x:row r="44">
      <x:c r="A44" s="7" t="str">
        <x:v>CUST-1043</x:v>
      </x:c>
      <x:c r="B44" s="8" t="n">
        <x:v>41</x:v>
      </x:c>
      <x:c r="C44" s="8" t="str">
        <x:v>Female</x:v>
      </x:c>
      <x:c r="D44" s="8" t="str">
        <x:v>West</x:v>
      </x:c>
      <x:c r="E44" s="14" t="n">
        <x:v>88000</x:v>
      </x:c>
      <x:c r="F44" s="8" t="n">
        <x:v>15</x:v>
      </x:c>
      <x:c r="G44" s="14" t="n">
        <x:v>160</x:v>
      </x:c>
      <x:c r="H44" s="14" t="n">
        <x:f>F44*G44</x:f>
        <x:v>2400</x:v>
      </x:c>
      <x:c r="I44" s="8" t="n">
        <x:v>42</x:v>
      </x:c>
      <x:c r="J44" s="8" t="n">
        <x:v>18</x:v>
      </x:c>
      <x:c r="K44" s="17" t="n">
        <x:v>0.718</x:v>
      </x:c>
      <x:c r="L44" s="8" t="str">
        <x:v>Fashion</x:v>
      </x:c>
      <x:c r="M44" s="8" t="n">
        <x:v>2</x:v>
      </x:c>
      <x:c r="N44" s="9" t="str">
        <x:v>Loyal Customers</x:v>
      </x:c>
    </x:row>
    <x:row r="45">
      <x:c r="A45" s="7" t="str">
        <x:v>CUST-1044</x:v>
      </x:c>
      <x:c r="B45" s="8" t="n">
        <x:v>35</x:v>
      </x:c>
      <x:c r="C45" s="8" t="str">
        <x:v>Male</x:v>
      </x:c>
      <x:c r="D45" s="8" t="str">
        <x:v>East</x:v>
      </x:c>
      <x:c r="E45" s="14" t="n">
        <x:v>75300</x:v>
      </x:c>
      <x:c r="F45" s="8" t="n">
        <x:v>13</x:v>
      </x:c>
      <x:c r="G45" s="14" t="n">
        <x:v>130</x:v>
      </x:c>
      <x:c r="H45" s="14" t="n">
        <x:f>F45*G45</x:f>
        <x:v>1690</x:v>
      </x:c>
      <x:c r="I45" s="8" t="n">
        <x:v>24</x:v>
      </x:c>
      <x:c r="J45" s="8" t="n">
        <x:v>15</x:v>
      </x:c>
      <x:c r="K45" s="17" t="n">
        <x:v>0.61</x:v>
      </x:c>
      <x:c r="L45" s="8" t="str">
        <x:v>Beauty</x:v>
      </x:c>
      <x:c r="M45" s="8" t="n">
        <x:v>2</x:v>
      </x:c>
      <x:c r="N45" s="9" t="str">
        <x:v>Loyal Customers</x:v>
      </x:c>
    </x:row>
    <x:row r="46">
      <x:c r="A46" s="7" t="str">
        <x:v>CUST-1045</x:v>
      </x:c>
      <x:c r="B46" s="8" t="n">
        <x:v>29</x:v>
      </x:c>
      <x:c r="C46" s="8" t="str">
        <x:v>Non-binary</x:v>
      </x:c>
      <x:c r="D46" s="8" t="str">
        <x:v>South</x:v>
      </x:c>
      <x:c r="E46" s="14" t="n">
        <x:v>58200</x:v>
      </x:c>
      <x:c r="F46" s="8" t="n">
        <x:v>11</x:v>
      </x:c>
      <x:c r="G46" s="14" t="n">
        <x:v>100</x:v>
      </x:c>
      <x:c r="H46" s="14" t="n">
        <x:f>F46*G46</x:f>
        <x:v>1100</x:v>
      </x:c>
      <x:c r="I46" s="8" t="n">
        <x:v>6</x:v>
      </x:c>
      <x:c r="J46" s="8" t="n">
        <x:v>12</x:v>
      </x:c>
      <x:c r="K46" s="17" t="n">
        <x:v>0.502</x:v>
      </x:c>
      <x:c r="L46" s="8" t="str">
        <x:v>Fashion</x:v>
      </x:c>
      <x:c r="M46" s="8" t="n">
        <x:v>2</x:v>
      </x:c>
      <x:c r="N46" s="9" t="str">
        <x:v>Loyal Customers</x:v>
      </x:c>
    </x:row>
    <x:row r="47">
      <x:c r="A47" s="7" t="str">
        <x:v>CUST-1046</x:v>
      </x:c>
      <x:c r="B47" s="8" t="n">
        <x:v>36</x:v>
      </x:c>
      <x:c r="C47" s="8" t="str">
        <x:v>Female</x:v>
      </x:c>
      <x:c r="D47" s="8" t="str">
        <x:v>North</x:v>
      </x:c>
      <x:c r="E47" s="14" t="n">
        <x:v>75400</x:v>
      </x:c>
      <x:c r="F47" s="8" t="n">
        <x:v>13</x:v>
      </x:c>
      <x:c r="G47" s="14" t="n">
        <x:v>135</x:v>
      </x:c>
      <x:c r="H47" s="14" t="n">
        <x:f>F47*G47</x:f>
        <x:v>1755</x:v>
      </x:c>
      <x:c r="I47" s="8" t="n">
        <x:v>27</x:v>
      </x:c>
      <x:c r="J47" s="8" t="n">
        <x:v>16</x:v>
      </x:c>
      <x:c r="K47" s="17" t="n">
        <x:v>0.628</x:v>
      </x:c>
      <x:c r="L47" s="8" t="str">
        <x:v>Beauty</x:v>
      </x:c>
      <x:c r="M47" s="8" t="n">
        <x:v>2</x:v>
      </x:c>
      <x:c r="N47" s="9" t="str">
        <x:v>Loyal Customers</x:v>
      </x:c>
    </x:row>
    <x:row r="48">
      <x:c r="A48" s="7" t="str">
        <x:v>CUST-1047</x:v>
      </x:c>
      <x:c r="B48" s="8" t="n">
        <x:v>30</x:v>
      </x:c>
      <x:c r="C48" s="8" t="str">
        <x:v>Male</x:v>
      </x:c>
      <x:c r="D48" s="8" t="str">
        <x:v>West</x:v>
      </x:c>
      <x:c r="E48" s="14" t="n">
        <x:v>62700</x:v>
      </x:c>
      <x:c r="F48" s="8" t="n">
        <x:v>11</x:v>
      </x:c>
      <x:c r="G48" s="14" t="n">
        <x:v>105</x:v>
      </x:c>
      <x:c r="H48" s="14" t="n">
        <x:f>F48*G48</x:f>
        <x:v>1155</x:v>
      </x:c>
      <x:c r="I48" s="8" t="n">
        <x:v>9</x:v>
      </x:c>
      <x:c r="J48" s="8" t="n">
        <x:v>13</x:v>
      </x:c>
      <x:c r="K48" s="17" t="n">
        <x:v>0.52</x:v>
      </x:c>
      <x:c r="L48" s="8" t="str">
        <x:v>Fashion</x:v>
      </x:c>
      <x:c r="M48" s="8" t="n">
        <x:v>2</x:v>
      </x:c>
      <x:c r="N48" s="9" t="str">
        <x:v>Loyal Customers</x:v>
      </x:c>
    </x:row>
    <x:row r="49">
      <x:c r="A49" s="7" t="str">
        <x:v>CUST-1048</x:v>
      </x:c>
      <x:c r="B49" s="8" t="n">
        <x:v>37</x:v>
      </x:c>
      <x:c r="C49" s="8" t="str">
        <x:v>Non-binary</x:v>
      </x:c>
      <x:c r="D49" s="8" t="str">
        <x:v>East</x:v>
      </x:c>
      <x:c r="E49" s="14" t="n">
        <x:v>79900</x:v>
      </x:c>
      <x:c r="F49" s="8" t="n">
        <x:v>14</x:v>
      </x:c>
      <x:c r="G49" s="14" t="n">
        <x:v>140</x:v>
      </x:c>
      <x:c r="H49" s="14" t="n">
        <x:f>F49*G49</x:f>
        <x:v>1960</x:v>
      </x:c>
      <x:c r="I49" s="8" t="n">
        <x:v>30</x:v>
      </x:c>
      <x:c r="J49" s="8" t="n">
        <x:v>16</x:v>
      </x:c>
      <x:c r="K49" s="17" t="n">
        <x:v>0.646</x:v>
      </x:c>
      <x:c r="L49" s="8" t="str">
        <x:v>Beauty</x:v>
      </x:c>
      <x:c r="M49" s="8" t="n">
        <x:v>2</x:v>
      </x:c>
      <x:c r="N49" s="9" t="str">
        <x:v>Loyal Customers</x:v>
      </x:c>
    </x:row>
    <x:row r="50">
      <x:c r="A50" s="7" t="str">
        <x:v>CUST-1049</x:v>
      </x:c>
      <x:c r="B50" s="8" t="n">
        <x:v>31</x:v>
      </x:c>
      <x:c r="C50" s="8" t="str">
        <x:v>Female</x:v>
      </x:c>
      <x:c r="D50" s="8" t="str">
        <x:v>South</x:v>
      </x:c>
      <x:c r="E50" s="14" t="n">
        <x:v>62800</x:v>
      </x:c>
      <x:c r="F50" s="8" t="n">
        <x:v>12</x:v>
      </x:c>
      <x:c r="G50" s="14" t="n">
        <x:v>110</x:v>
      </x:c>
      <x:c r="H50" s="14" t="n">
        <x:f>F50*G50</x:f>
        <x:v>1320</x:v>
      </x:c>
      <x:c r="I50" s="8" t="n">
        <x:v>12</x:v>
      </x:c>
      <x:c r="J50" s="8" t="n">
        <x:v>13</x:v>
      </x:c>
      <x:c r="K50" s="17" t="n">
        <x:v>0.538</x:v>
      </x:c>
      <x:c r="L50" s="8" t="str">
        <x:v>Fashion</x:v>
      </x:c>
      <x:c r="M50" s="8" t="n">
        <x:v>2</x:v>
      </x:c>
      <x:c r="N50" s="9" t="str">
        <x:v>Loyal Customers</x:v>
      </x:c>
    </x:row>
    <x:row r="51">
      <x:c r="A51" s="7" t="str">
        <x:v>CUST-1050</x:v>
      </x:c>
      <x:c r="B51" s="8" t="n">
        <x:v>38</x:v>
      </x:c>
      <x:c r="C51" s="8" t="str">
        <x:v>Male</x:v>
      </x:c>
      <x:c r="D51" s="8" t="str">
        <x:v>North</x:v>
      </x:c>
      <x:c r="E51" s="14" t="n">
        <x:v>80000</x:v>
      </x:c>
      <x:c r="F51" s="8" t="n">
        <x:v>14</x:v>
      </x:c>
      <x:c r="G51" s="14" t="n">
        <x:v>145</x:v>
      </x:c>
      <x:c r="H51" s="14" t="n">
        <x:f>F51*G51</x:f>
        <x:v>2030</x:v>
      </x:c>
      <x:c r="I51" s="8" t="n">
        <x:v>33</x:v>
      </x:c>
      <x:c r="J51" s="8" t="n">
        <x:v>17</x:v>
      </x:c>
      <x:c r="K51" s="17" t="n">
        <x:v>0.6639999999999999</x:v>
      </x:c>
      <x:c r="L51" s="8" t="str">
        <x:v>Beauty</x:v>
      </x:c>
      <x:c r="M51" s="8" t="n">
        <x:v>2</x:v>
      </x:c>
      <x:c r="N51" s="9" t="str">
        <x:v>Loyal Customers</x:v>
      </x:c>
    </x:row>
    <x:row r="52">
      <x:c r="A52" s="7" t="str">
        <x:v>CUST-1051</x:v>
      </x:c>
      <x:c r="B52" s="8" t="n">
        <x:v>32</x:v>
      </x:c>
      <x:c r="C52" s="8" t="str">
        <x:v>Non-binary</x:v>
      </x:c>
      <x:c r="D52" s="8" t="str">
        <x:v>West</x:v>
      </x:c>
      <x:c r="E52" s="14" t="n">
        <x:v>67300</x:v>
      </x:c>
      <x:c r="F52" s="8" t="n">
        <x:v>12</x:v>
      </x:c>
      <x:c r="G52" s="14" t="n">
        <x:v>115</x:v>
      </x:c>
      <x:c r="H52" s="14" t="n">
        <x:f>F52*G52</x:f>
        <x:v>1380</x:v>
      </x:c>
      <x:c r="I52" s="8" t="n">
        <x:v>15</x:v>
      </x:c>
      <x:c r="J52" s="8" t="n">
        <x:v>14</x:v>
      </x:c>
      <x:c r="K52" s="17" t="n">
        <x:v>0.556</x:v>
      </x:c>
      <x:c r="L52" s="8" t="str">
        <x:v>Fashion</x:v>
      </x:c>
      <x:c r="M52" s="8" t="n">
        <x:v>2</x:v>
      </x:c>
      <x:c r="N52" s="9" t="str">
        <x:v>Loyal Customers</x:v>
      </x:c>
    </x:row>
    <x:row r="53">
      <x:c r="A53" s="7" t="str">
        <x:v>CUST-1052</x:v>
      </x:c>
      <x:c r="B53" s="8" t="n">
        <x:v>39</x:v>
      </x:c>
      <x:c r="C53" s="8" t="str">
        <x:v>Female</x:v>
      </x:c>
      <x:c r="D53" s="8" t="str">
        <x:v>East</x:v>
      </x:c>
      <x:c r="E53" s="14" t="n">
        <x:v>84500</x:v>
      </x:c>
      <x:c r="F53" s="8" t="n">
        <x:v>14</x:v>
      </x:c>
      <x:c r="G53" s="14" t="n">
        <x:v>150</x:v>
      </x:c>
      <x:c r="H53" s="14" t="n">
        <x:f>F53*G53</x:f>
        <x:v>2100</x:v>
      </x:c>
      <x:c r="I53" s="8" t="n">
        <x:v>36</x:v>
      </x:c>
      <x:c r="J53" s="8" t="n">
        <x:v>17</x:v>
      </x:c>
      <x:c r="K53" s="17" t="n">
        <x:v>0.6819999999999999</x:v>
      </x:c>
      <x:c r="L53" s="8" t="str">
        <x:v>Beauty</x:v>
      </x:c>
      <x:c r="M53" s="8" t="n">
        <x:v>2</x:v>
      </x:c>
      <x:c r="N53" s="9" t="str">
        <x:v>Loyal Customers</x:v>
      </x:c>
    </x:row>
    <x:row r="54">
      <x:c r="A54" s="7" t="str">
        <x:v>CUST-1053</x:v>
      </x:c>
      <x:c r="B54" s="8" t="n">
        <x:v>33</x:v>
      </x:c>
      <x:c r="C54" s="8" t="str">
        <x:v>Male</x:v>
      </x:c>
      <x:c r="D54" s="8" t="str">
        <x:v>South</x:v>
      </x:c>
      <x:c r="E54" s="14" t="n">
        <x:v>67400</x:v>
      </x:c>
      <x:c r="F54" s="8" t="n">
        <x:v>12</x:v>
      </x:c>
      <x:c r="G54" s="14" t="n">
        <x:v>120</x:v>
      </x:c>
      <x:c r="H54" s="14" t="n">
        <x:f>F54*G54</x:f>
        <x:v>1440</x:v>
      </x:c>
      <x:c r="I54" s="8" t="n">
        <x:v>18</x:v>
      </x:c>
      <x:c r="J54" s="8" t="n">
        <x:v>14</x:v>
      </x:c>
      <x:c r="K54" s="17" t="n">
        <x:v>0.574</x:v>
      </x:c>
      <x:c r="L54" s="8" t="str">
        <x:v>Fashion</x:v>
      </x:c>
      <x:c r="M54" s="8" t="n">
        <x:v>2</x:v>
      </x:c>
      <x:c r="N54" s="9" t="str">
        <x:v>Loyal Customers</x:v>
      </x:c>
    </x:row>
    <x:row r="55">
      <x:c r="A55" s="7" t="str">
        <x:v>CUST-1054</x:v>
      </x:c>
      <x:c r="B55" s="8" t="n">
        <x:v>40</x:v>
      </x:c>
      <x:c r="C55" s="8" t="str">
        <x:v>Non-binary</x:v>
      </x:c>
      <x:c r="D55" s="8" t="str">
        <x:v>North</x:v>
      </x:c>
      <x:c r="E55" s="14" t="n">
        <x:v>84600</x:v>
      </x:c>
      <x:c r="F55" s="8" t="n">
        <x:v>15</x:v>
      </x:c>
      <x:c r="G55" s="14" t="n">
        <x:v>155</x:v>
      </x:c>
      <x:c r="H55" s="14" t="n">
        <x:f>F55*G55</x:f>
        <x:v>2325</x:v>
      </x:c>
      <x:c r="I55" s="8" t="n">
        <x:v>39</x:v>
      </x:c>
      <x:c r="J55" s="8" t="n">
        <x:v>18</x:v>
      </x:c>
      <x:c r="K55" s="17" t="n">
        <x:v>0.7</x:v>
      </x:c>
      <x:c r="L55" s="8" t="str">
        <x:v>Beauty</x:v>
      </x:c>
      <x:c r="M55" s="8" t="n">
        <x:v>2</x:v>
      </x:c>
      <x:c r="N55" s="9" t="str">
        <x:v>Loyal Customers</x:v>
      </x:c>
    </x:row>
    <x:row r="56">
      <x:c r="A56" s="7" t="str">
        <x:v>CUST-1055</x:v>
      </x:c>
      <x:c r="B56" s="8" t="n">
        <x:v>34</x:v>
      </x:c>
      <x:c r="C56" s="8" t="str">
        <x:v>Female</x:v>
      </x:c>
      <x:c r="D56" s="8" t="str">
        <x:v>West</x:v>
      </x:c>
      <x:c r="E56" s="14" t="n">
        <x:v>71900</x:v>
      </x:c>
      <x:c r="F56" s="8" t="n">
        <x:v>13</x:v>
      </x:c>
      <x:c r="G56" s="14" t="n">
        <x:v>125</x:v>
      </x:c>
      <x:c r="H56" s="14" t="n">
        <x:f>F56*G56</x:f>
        <x:v>1625</x:v>
      </x:c>
      <x:c r="I56" s="8" t="n">
        <x:v>21</x:v>
      </x:c>
      <x:c r="J56" s="8" t="n">
        <x:v>15</x:v>
      </x:c>
      <x:c r="K56" s="17" t="n">
        <x:v>0.592</x:v>
      </x:c>
      <x:c r="L56" s="8" t="str">
        <x:v>Fashion</x:v>
      </x:c>
      <x:c r="M56" s="8" t="n">
        <x:v>2</x:v>
      </x:c>
      <x:c r="N56" s="9" t="str">
        <x:v>Loyal Customers</x:v>
      </x:c>
    </x:row>
    <x:row r="57">
      <x:c r="A57" s="7" t="str">
        <x:v>CUST-1056</x:v>
      </x:c>
      <x:c r="B57" s="8" t="n">
        <x:v>41</x:v>
      </x:c>
      <x:c r="C57" s="8" t="str">
        <x:v>Male</x:v>
      </x:c>
      <x:c r="D57" s="8" t="str">
        <x:v>East</x:v>
      </x:c>
      <x:c r="E57" s="14" t="n">
        <x:v>89100</x:v>
      </x:c>
      <x:c r="F57" s="8" t="n">
        <x:v>15</x:v>
      </x:c>
      <x:c r="G57" s="14" t="n">
        <x:v>160</x:v>
      </x:c>
      <x:c r="H57" s="14" t="n">
        <x:f>F57*G57</x:f>
        <x:v>2400</x:v>
      </x:c>
      <x:c r="I57" s="8" t="n">
        <x:v>42</x:v>
      </x:c>
      <x:c r="J57" s="8" t="n">
        <x:v>18</x:v>
      </x:c>
      <x:c r="K57" s="17" t="n">
        <x:v>0.718</x:v>
      </x:c>
      <x:c r="L57" s="8" t="str">
        <x:v>Beauty</x:v>
      </x:c>
      <x:c r="M57" s="8" t="n">
        <x:v>2</x:v>
      </x:c>
      <x:c r="N57" s="9" t="str">
        <x:v>Loyal Customers</x:v>
      </x:c>
    </x:row>
    <x:row r="58">
      <x:c r="A58" s="7" t="str">
        <x:v>CUST-1057</x:v>
      </x:c>
      <x:c r="B58" s="8" t="n">
        <x:v>35</x:v>
      </x:c>
      <x:c r="C58" s="8" t="str">
        <x:v>Non-binary</x:v>
      </x:c>
      <x:c r="D58" s="8" t="str">
        <x:v>South</x:v>
      </x:c>
      <x:c r="E58" s="14" t="n">
        <x:v>72000</x:v>
      </x:c>
      <x:c r="F58" s="8" t="n">
        <x:v>13</x:v>
      </x:c>
      <x:c r="G58" s="14" t="n">
        <x:v>130</x:v>
      </x:c>
      <x:c r="H58" s="14" t="n">
        <x:f>F58*G58</x:f>
        <x:v>1690</x:v>
      </x:c>
      <x:c r="I58" s="8" t="n">
        <x:v>24</x:v>
      </x:c>
      <x:c r="J58" s="8" t="n">
        <x:v>15</x:v>
      </x:c>
      <x:c r="K58" s="17" t="n">
        <x:v>0.61</x:v>
      </x:c>
      <x:c r="L58" s="8" t="str">
        <x:v>Fashion</x:v>
      </x:c>
      <x:c r="M58" s="8" t="n">
        <x:v>2</x:v>
      </x:c>
      <x:c r="N58" s="9" t="str">
        <x:v>Loyal Customers</x:v>
      </x:c>
    </x:row>
    <x:row r="59">
      <x:c r="A59" s="7" t="str">
        <x:v>CUST-1058</x:v>
      </x:c>
      <x:c r="B59" s="8" t="n">
        <x:v>29</x:v>
      </x:c>
      <x:c r="C59" s="8" t="str">
        <x:v>Female</x:v>
      </x:c>
      <x:c r="D59" s="8" t="str">
        <x:v>North</x:v>
      </x:c>
      <x:c r="E59" s="14" t="n">
        <x:v>59300</x:v>
      </x:c>
      <x:c r="F59" s="8" t="n">
        <x:v>11</x:v>
      </x:c>
      <x:c r="G59" s="14" t="n">
        <x:v>100</x:v>
      </x:c>
      <x:c r="H59" s="14" t="n">
        <x:f>F59*G59</x:f>
        <x:v>1100</x:v>
      </x:c>
      <x:c r="I59" s="8" t="n">
        <x:v>6</x:v>
      </x:c>
      <x:c r="J59" s="8" t="n">
        <x:v>12</x:v>
      </x:c>
      <x:c r="K59" s="17" t="n">
        <x:v>0.502</x:v>
      </x:c>
      <x:c r="L59" s="8" t="str">
        <x:v>Beauty</x:v>
      </x:c>
      <x:c r="M59" s="8" t="n">
        <x:v>2</x:v>
      </x:c>
      <x:c r="N59" s="9" t="str">
        <x:v>Loyal Customers</x:v>
      </x:c>
    </x:row>
    <x:row r="60">
      <x:c r="A60" s="7" t="str">
        <x:v>CUST-1059</x:v>
      </x:c>
      <x:c r="B60" s="8" t="n">
        <x:v>36</x:v>
      </x:c>
      <x:c r="C60" s="8" t="str">
        <x:v>Male</x:v>
      </x:c>
      <x:c r="D60" s="8" t="str">
        <x:v>West</x:v>
      </x:c>
      <x:c r="E60" s="14" t="n">
        <x:v>76500</x:v>
      </x:c>
      <x:c r="F60" s="8" t="n">
        <x:v>13</x:v>
      </x:c>
      <x:c r="G60" s="14" t="n">
        <x:v>135</x:v>
      </x:c>
      <x:c r="H60" s="14" t="n">
        <x:f>F60*G60</x:f>
        <x:v>1755</x:v>
      </x:c>
      <x:c r="I60" s="8" t="n">
        <x:v>27</x:v>
      </x:c>
      <x:c r="J60" s="8" t="n">
        <x:v>16</x:v>
      </x:c>
      <x:c r="K60" s="17" t="n">
        <x:v>0.628</x:v>
      </x:c>
      <x:c r="L60" s="8" t="str">
        <x:v>Fashion</x:v>
      </x:c>
      <x:c r="M60" s="8" t="n">
        <x:v>2</x:v>
      </x:c>
      <x:c r="N60" s="9" t="str">
        <x:v>Loyal Customers</x:v>
      </x:c>
    </x:row>
    <x:row r="61">
      <x:c r="A61" s="7" t="str">
        <x:v>CUST-1060</x:v>
      </x:c>
      <x:c r="B61" s="8" t="n">
        <x:v>30</x:v>
      </x:c>
      <x:c r="C61" s="8" t="str">
        <x:v>Non-binary</x:v>
      </x:c>
      <x:c r="D61" s="8" t="str">
        <x:v>East</x:v>
      </x:c>
      <x:c r="E61" s="14" t="n">
        <x:v>63800</x:v>
      </x:c>
      <x:c r="F61" s="8" t="n">
        <x:v>11</x:v>
      </x:c>
      <x:c r="G61" s="14" t="n">
        <x:v>105</x:v>
      </x:c>
      <x:c r="H61" s="14" t="n">
        <x:f>F61*G61</x:f>
        <x:v>1155</x:v>
      </x:c>
      <x:c r="I61" s="8" t="n">
        <x:v>9</x:v>
      </x:c>
      <x:c r="J61" s="8" t="n">
        <x:v>13</x:v>
      </x:c>
      <x:c r="K61" s="17" t="n">
        <x:v>0.52</x:v>
      </x:c>
      <x:c r="L61" s="8" t="str">
        <x:v>Beauty</x:v>
      </x:c>
      <x:c r="M61" s="8" t="n">
        <x:v>2</x:v>
      </x:c>
      <x:c r="N61" s="9" t="str">
        <x:v>Loyal Customers</x:v>
      </x:c>
    </x:row>
    <x:row r="62">
      <x:c r="A62" s="7" t="str">
        <x:v>CUST-1061</x:v>
      </x:c>
      <x:c r="B62" s="8" t="n">
        <x:v>37</x:v>
      </x:c>
      <x:c r="C62" s="8" t="str">
        <x:v>Female</x:v>
      </x:c>
      <x:c r="D62" s="8" t="str">
        <x:v>South</x:v>
      </x:c>
      <x:c r="E62" s="14" t="n">
        <x:v>76600</x:v>
      </x:c>
      <x:c r="F62" s="8" t="n">
        <x:v>14</x:v>
      </x:c>
      <x:c r="G62" s="14" t="n">
        <x:v>140</x:v>
      </x:c>
      <x:c r="H62" s="14" t="n">
        <x:f>F62*G62</x:f>
        <x:v>1960</x:v>
      </x:c>
      <x:c r="I62" s="8" t="n">
        <x:v>30</x:v>
      </x:c>
      <x:c r="J62" s="8" t="n">
        <x:v>16</x:v>
      </x:c>
      <x:c r="K62" s="17" t="n">
        <x:v>0.646</x:v>
      </x:c>
      <x:c r="L62" s="8" t="str">
        <x:v>Fashion</x:v>
      </x:c>
      <x:c r="M62" s="8" t="n">
        <x:v>2</x:v>
      </x:c>
      <x:c r="N62" s="9" t="str">
        <x:v>Loyal Customers</x:v>
      </x:c>
    </x:row>
    <x:row r="63">
      <x:c r="A63" s="7" t="str">
        <x:v>CUST-1062</x:v>
      </x:c>
      <x:c r="B63" s="8" t="n">
        <x:v>31</x:v>
      </x:c>
      <x:c r="C63" s="8" t="str">
        <x:v>Male</x:v>
      </x:c>
      <x:c r="D63" s="8" t="str">
        <x:v>North</x:v>
      </x:c>
      <x:c r="E63" s="14" t="n">
        <x:v>63900</x:v>
      </x:c>
      <x:c r="F63" s="8" t="n">
        <x:v>12</x:v>
      </x:c>
      <x:c r="G63" s="14" t="n">
        <x:v>110</x:v>
      </x:c>
      <x:c r="H63" s="14" t="n">
        <x:f>F63*G63</x:f>
        <x:v>1320</x:v>
      </x:c>
      <x:c r="I63" s="8" t="n">
        <x:v>12</x:v>
      </x:c>
      <x:c r="J63" s="8" t="n">
        <x:v>13</x:v>
      </x:c>
      <x:c r="K63" s="17" t="n">
        <x:v>0.538</x:v>
      </x:c>
      <x:c r="L63" s="8" t="str">
        <x:v>Beauty</x:v>
      </x:c>
      <x:c r="M63" s="8" t="n">
        <x:v>2</x:v>
      </x:c>
      <x:c r="N63" s="9" t="str">
        <x:v>Loyal Customers</x:v>
      </x:c>
    </x:row>
    <x:row r="64">
      <x:c r="A64" s="7" t="str">
        <x:v>CUST-1063</x:v>
      </x:c>
      <x:c r="B64" s="8" t="n">
        <x:v>38</x:v>
      </x:c>
      <x:c r="C64" s="8" t="str">
        <x:v>Non-binary</x:v>
      </x:c>
      <x:c r="D64" s="8" t="str">
        <x:v>West</x:v>
      </x:c>
      <x:c r="E64" s="14" t="n">
        <x:v>81100</x:v>
      </x:c>
      <x:c r="F64" s="8" t="n">
        <x:v>14</x:v>
      </x:c>
      <x:c r="G64" s="14" t="n">
        <x:v>145</x:v>
      </x:c>
      <x:c r="H64" s="14" t="n">
        <x:f>F64*G64</x:f>
        <x:v>2030</x:v>
      </x:c>
      <x:c r="I64" s="8" t="n">
        <x:v>33</x:v>
      </x:c>
      <x:c r="J64" s="8" t="n">
        <x:v>17</x:v>
      </x:c>
      <x:c r="K64" s="17" t="n">
        <x:v>0.6639999999999999</x:v>
      </x:c>
      <x:c r="L64" s="8" t="str">
        <x:v>Fashion</x:v>
      </x:c>
      <x:c r="M64" s="8" t="n">
        <x:v>2</x:v>
      </x:c>
      <x:c r="N64" s="9" t="str">
        <x:v>Loyal Customers</x:v>
      </x:c>
    </x:row>
    <x:row r="65">
      <x:c r="A65" s="7" t="str">
        <x:v>CUST-1064</x:v>
      </x:c>
      <x:c r="B65" s="8" t="n">
        <x:v>32</x:v>
      </x:c>
      <x:c r="C65" s="8" t="str">
        <x:v>Female</x:v>
      </x:c>
      <x:c r="D65" s="8" t="str">
        <x:v>East</x:v>
      </x:c>
      <x:c r="E65" s="14" t="n">
        <x:v>68400</x:v>
      </x:c>
      <x:c r="F65" s="8" t="n">
        <x:v>12</x:v>
      </x:c>
      <x:c r="G65" s="14" t="n">
        <x:v>115</x:v>
      </x:c>
      <x:c r="H65" s="14" t="n">
        <x:f>F65*G65</x:f>
        <x:v>1380</x:v>
      </x:c>
      <x:c r="I65" s="8" t="n">
        <x:v>15</x:v>
      </x:c>
      <x:c r="J65" s="8" t="n">
        <x:v>14</x:v>
      </x:c>
      <x:c r="K65" s="17" t="n">
        <x:v>0.556</x:v>
      </x:c>
      <x:c r="L65" s="8" t="str">
        <x:v>Beauty</x:v>
      </x:c>
      <x:c r="M65" s="8" t="n">
        <x:v>2</x:v>
      </x:c>
      <x:c r="N65" s="9" t="str">
        <x:v>Loyal Customers</x:v>
      </x:c>
    </x:row>
    <x:row r="66">
      <x:c r="A66" s="7" t="str">
        <x:v>CUST-1065</x:v>
      </x:c>
      <x:c r="B66" s="8" t="n">
        <x:v>39</x:v>
      </x:c>
      <x:c r="C66" s="8" t="str">
        <x:v>Male</x:v>
      </x:c>
      <x:c r="D66" s="8" t="str">
        <x:v>South</x:v>
      </x:c>
      <x:c r="E66" s="14" t="n">
        <x:v>81200</x:v>
      </x:c>
      <x:c r="F66" s="8" t="n">
        <x:v>14</x:v>
      </x:c>
      <x:c r="G66" s="14" t="n">
        <x:v>150</x:v>
      </x:c>
      <x:c r="H66" s="14" t="n">
        <x:f>F66*G66</x:f>
        <x:v>2100</x:v>
      </x:c>
      <x:c r="I66" s="8" t="n">
        <x:v>36</x:v>
      </x:c>
      <x:c r="J66" s="8" t="n">
        <x:v>17</x:v>
      </x:c>
      <x:c r="K66" s="17" t="n">
        <x:v>0.6819999999999999</x:v>
      </x:c>
      <x:c r="L66" s="8" t="str">
        <x:v>Fashion</x:v>
      </x:c>
      <x:c r="M66" s="8" t="n">
        <x:v>2</x:v>
      </x:c>
      <x:c r="N66" s="9" t="str">
        <x:v>Loyal Customers</x:v>
      </x:c>
    </x:row>
    <x:row r="67">
      <x:c r="A67" s="7" t="str">
        <x:v>CUST-1066</x:v>
      </x:c>
      <x:c r="B67" s="8" t="n">
        <x:v>33</x:v>
      </x:c>
      <x:c r="C67" s="8" t="str">
        <x:v>Non-binary</x:v>
      </x:c>
      <x:c r="D67" s="8" t="str">
        <x:v>North</x:v>
      </x:c>
      <x:c r="E67" s="14" t="n">
        <x:v>68500</x:v>
      </x:c>
      <x:c r="F67" s="8" t="n">
        <x:v>12</x:v>
      </x:c>
      <x:c r="G67" s="14" t="n">
        <x:v>120</x:v>
      </x:c>
      <x:c r="H67" s="14" t="n">
        <x:f>F67*G67</x:f>
        <x:v>1440</x:v>
      </x:c>
      <x:c r="I67" s="8" t="n">
        <x:v>18</x:v>
      </x:c>
      <x:c r="J67" s="8" t="n">
        <x:v>14</x:v>
      </x:c>
      <x:c r="K67" s="17" t="n">
        <x:v>0.574</x:v>
      </x:c>
      <x:c r="L67" s="8" t="str">
        <x:v>Beauty</x:v>
      </x:c>
      <x:c r="M67" s="8" t="n">
        <x:v>2</x:v>
      </x:c>
      <x:c r="N67" s="9" t="str">
        <x:v>Loyal Customers</x:v>
      </x:c>
    </x:row>
    <x:row r="68">
      <x:c r="A68" s="7" t="str">
        <x:v>CUST-1067</x:v>
      </x:c>
      <x:c r="B68" s="8" t="n">
        <x:v>40</x:v>
      </x:c>
      <x:c r="C68" s="8" t="str">
        <x:v>Female</x:v>
      </x:c>
      <x:c r="D68" s="8" t="str">
        <x:v>West</x:v>
      </x:c>
      <x:c r="E68" s="14" t="n">
        <x:v>85700</x:v>
      </x:c>
      <x:c r="F68" s="8" t="n">
        <x:v>15</x:v>
      </x:c>
      <x:c r="G68" s="14" t="n">
        <x:v>155</x:v>
      </x:c>
      <x:c r="H68" s="14" t="n">
        <x:f>F68*G68</x:f>
        <x:v>2325</x:v>
      </x:c>
      <x:c r="I68" s="8" t="n">
        <x:v>39</x:v>
      </x:c>
      <x:c r="J68" s="8" t="n">
        <x:v>18</x:v>
      </x:c>
      <x:c r="K68" s="17" t="n">
        <x:v>0.7</x:v>
      </x:c>
      <x:c r="L68" s="8" t="str">
        <x:v>Fashion</x:v>
      </x:c>
      <x:c r="M68" s="8" t="n">
        <x:v>2</x:v>
      </x:c>
      <x:c r="N68" s="9" t="str">
        <x:v>Loyal Customers</x:v>
      </x:c>
    </x:row>
    <x:row r="69">
      <x:c r="A69" s="7" t="str">
        <x:v>CUST-1068</x:v>
      </x:c>
      <x:c r="B69" s="8" t="n">
        <x:v>34</x:v>
      </x:c>
      <x:c r="C69" s="8" t="str">
        <x:v>Male</x:v>
      </x:c>
      <x:c r="D69" s="8" t="str">
        <x:v>East</x:v>
      </x:c>
      <x:c r="E69" s="14" t="n">
        <x:v>73000</x:v>
      </x:c>
      <x:c r="F69" s="8" t="n">
        <x:v>13</x:v>
      </x:c>
      <x:c r="G69" s="14" t="n">
        <x:v>125</x:v>
      </x:c>
      <x:c r="H69" s="14" t="n">
        <x:f>F69*G69</x:f>
        <x:v>1625</x:v>
      </x:c>
      <x:c r="I69" s="8" t="n">
        <x:v>21</x:v>
      </x:c>
      <x:c r="J69" s="8" t="n">
        <x:v>15</x:v>
      </x:c>
      <x:c r="K69" s="17" t="n">
        <x:v>0.592</x:v>
      </x:c>
      <x:c r="L69" s="8" t="str">
        <x:v>Beauty</x:v>
      </x:c>
      <x:c r="M69" s="8" t="n">
        <x:v>2</x:v>
      </x:c>
      <x:c r="N69" s="9" t="str">
        <x:v>Loyal Customers</x:v>
      </x:c>
    </x:row>
    <x:row r="70">
      <x:c r="A70" s="7" t="str">
        <x:v>CUST-1069</x:v>
      </x:c>
      <x:c r="B70" s="8" t="n">
        <x:v>41</x:v>
      </x:c>
      <x:c r="C70" s="8" t="str">
        <x:v>Non-binary</x:v>
      </x:c>
      <x:c r="D70" s="8" t="str">
        <x:v>South</x:v>
      </x:c>
      <x:c r="E70" s="14" t="n">
        <x:v>85800</x:v>
      </x:c>
      <x:c r="F70" s="8" t="n">
        <x:v>15</x:v>
      </x:c>
      <x:c r="G70" s="14" t="n">
        <x:v>160</x:v>
      </x:c>
      <x:c r="H70" s="14" t="n">
        <x:f>F70*G70</x:f>
        <x:v>2400</x:v>
      </x:c>
      <x:c r="I70" s="8" t="n">
        <x:v>42</x:v>
      </x:c>
      <x:c r="J70" s="8" t="n">
        <x:v>18</x:v>
      </x:c>
      <x:c r="K70" s="17" t="n">
        <x:v>0.718</x:v>
      </x:c>
      <x:c r="L70" s="8" t="str">
        <x:v>Fashion</x:v>
      </x:c>
      <x:c r="M70" s="8" t="n">
        <x:v>2</x:v>
      </x:c>
      <x:c r="N70" s="9" t="str">
        <x:v>Loyal Customers</x:v>
      </x:c>
    </x:row>
    <x:row r="71">
      <x:c r="A71" s="7" t="str">
        <x:v>CUST-1070</x:v>
      </x:c>
      <x:c r="B71" s="8" t="n">
        <x:v>35</x:v>
      </x:c>
      <x:c r="C71" s="8" t="str">
        <x:v>Female</x:v>
      </x:c>
      <x:c r="D71" s="8" t="str">
        <x:v>North</x:v>
      </x:c>
      <x:c r="E71" s="14" t="n">
        <x:v>73100</x:v>
      </x:c>
      <x:c r="F71" s="8" t="n">
        <x:v>13</x:v>
      </x:c>
      <x:c r="G71" s="14" t="n">
        <x:v>130</x:v>
      </x:c>
      <x:c r="H71" s="14" t="n">
        <x:f>F71*G71</x:f>
        <x:v>1690</x:v>
      </x:c>
      <x:c r="I71" s="8" t="n">
        <x:v>24</x:v>
      </x:c>
      <x:c r="J71" s="8" t="n">
        <x:v>15</x:v>
      </x:c>
      <x:c r="K71" s="17" t="n">
        <x:v>0.61</x:v>
      </x:c>
      <x:c r="L71" s="8" t="str">
        <x:v>Beauty</x:v>
      </x:c>
      <x:c r="M71" s="8" t="n">
        <x:v>2</x:v>
      </x:c>
      <x:c r="N71" s="9" t="str">
        <x:v>Loyal Customers</x:v>
      </x:c>
    </x:row>
    <x:row r="72">
      <x:c r="A72" s="7" t="str">
        <x:v>CUST-1071</x:v>
      </x:c>
      <x:c r="B72" s="8" t="n">
        <x:v>29</x:v>
      </x:c>
      <x:c r="C72" s="8" t="str">
        <x:v>Male</x:v>
      </x:c>
      <x:c r="D72" s="8" t="str">
        <x:v>West</x:v>
      </x:c>
      <x:c r="E72" s="14" t="n">
        <x:v>60400</x:v>
      </x:c>
      <x:c r="F72" s="8" t="n">
        <x:v>11</x:v>
      </x:c>
      <x:c r="G72" s="14" t="n">
        <x:v>100</x:v>
      </x:c>
      <x:c r="H72" s="14" t="n">
        <x:f>F72*G72</x:f>
        <x:v>1100</x:v>
      </x:c>
      <x:c r="I72" s="8" t="n">
        <x:v>6</x:v>
      </x:c>
      <x:c r="J72" s="8" t="n">
        <x:v>12</x:v>
      </x:c>
      <x:c r="K72" s="17" t="n">
        <x:v>0.502</x:v>
      </x:c>
      <x:c r="L72" s="8" t="str">
        <x:v>Fashion</x:v>
      </x:c>
      <x:c r="M72" s="8" t="n">
        <x:v>2</x:v>
      </x:c>
      <x:c r="N72" s="9" t="str">
        <x:v>Loyal Customers</x:v>
      </x:c>
    </x:row>
    <x:row r="73">
      <x:c r="A73" s="7" t="str">
        <x:v>CUST-1072</x:v>
      </x:c>
      <x:c r="B73" s="8" t="n">
        <x:v>36</x:v>
      </x:c>
      <x:c r="C73" s="8" t="str">
        <x:v>Non-binary</x:v>
      </x:c>
      <x:c r="D73" s="8" t="str">
        <x:v>East</x:v>
      </x:c>
      <x:c r="E73" s="14" t="n">
        <x:v>77600</x:v>
      </x:c>
      <x:c r="F73" s="8" t="n">
        <x:v>13</x:v>
      </x:c>
      <x:c r="G73" s="14" t="n">
        <x:v>135</x:v>
      </x:c>
      <x:c r="H73" s="14" t="n">
        <x:f>F73*G73</x:f>
        <x:v>1755</x:v>
      </x:c>
      <x:c r="I73" s="8" t="n">
        <x:v>27</x:v>
      </x:c>
      <x:c r="J73" s="8" t="n">
        <x:v>16</x:v>
      </x:c>
      <x:c r="K73" s="17" t="n">
        <x:v>0.628</x:v>
      </x:c>
      <x:c r="L73" s="8" t="str">
        <x:v>Beauty</x:v>
      </x:c>
      <x:c r="M73" s="8" t="n">
        <x:v>2</x:v>
      </x:c>
      <x:c r="N73" s="9" t="str">
        <x:v>Loyal Customers</x:v>
      </x:c>
    </x:row>
    <x:row r="74">
      <x:c r="A74" s="7" t="str">
        <x:v>CUST-1073</x:v>
      </x:c>
      <x:c r="B74" s="8" t="n">
        <x:v>30</x:v>
      </x:c>
      <x:c r="C74" s="8" t="str">
        <x:v>Female</x:v>
      </x:c>
      <x:c r="D74" s="8" t="str">
        <x:v>South</x:v>
      </x:c>
      <x:c r="E74" s="14" t="n">
        <x:v>60500</x:v>
      </x:c>
      <x:c r="F74" s="8" t="n">
        <x:v>11</x:v>
      </x:c>
      <x:c r="G74" s="14" t="n">
        <x:v>105</x:v>
      </x:c>
      <x:c r="H74" s="14" t="n">
        <x:f>F74*G74</x:f>
        <x:v>1155</x:v>
      </x:c>
      <x:c r="I74" s="8" t="n">
        <x:v>9</x:v>
      </x:c>
      <x:c r="J74" s="8" t="n">
        <x:v>13</x:v>
      </x:c>
      <x:c r="K74" s="17" t="n">
        <x:v>0.52</x:v>
      </x:c>
      <x:c r="L74" s="8" t="str">
        <x:v>Fashion</x:v>
      </x:c>
      <x:c r="M74" s="8" t="n">
        <x:v>2</x:v>
      </x:c>
      <x:c r="N74" s="9" t="str">
        <x:v>Loyal Customers</x:v>
      </x:c>
    </x:row>
    <x:row r="75">
      <x:c r="A75" s="7" t="str">
        <x:v>CUST-1074</x:v>
      </x:c>
      <x:c r="B75" s="8" t="n">
        <x:v>37</x:v>
      </x:c>
      <x:c r="C75" s="8" t="str">
        <x:v>Male</x:v>
      </x:c>
      <x:c r="D75" s="8" t="str">
        <x:v>North</x:v>
      </x:c>
      <x:c r="E75" s="14" t="n">
        <x:v>77700</x:v>
      </x:c>
      <x:c r="F75" s="8" t="n">
        <x:v>14</x:v>
      </x:c>
      <x:c r="G75" s="14" t="n">
        <x:v>140</x:v>
      </x:c>
      <x:c r="H75" s="14" t="n">
        <x:f>F75*G75</x:f>
        <x:v>1960</x:v>
      </x:c>
      <x:c r="I75" s="8" t="n">
        <x:v>30</x:v>
      </x:c>
      <x:c r="J75" s="8" t="n">
        <x:v>16</x:v>
      </x:c>
      <x:c r="K75" s="17" t="n">
        <x:v>0.646</x:v>
      </x:c>
      <x:c r="L75" s="8" t="str">
        <x:v>Beauty</x:v>
      </x:c>
      <x:c r="M75" s="8" t="n">
        <x:v>2</x:v>
      </x:c>
      <x:c r="N75" s="9" t="str">
        <x:v>Loyal Customers</x:v>
      </x:c>
    </x:row>
    <x:row r="76">
      <x:c r="A76" s="7" t="str">
        <x:v>CUST-1075</x:v>
      </x:c>
      <x:c r="B76" s="8" t="n">
        <x:v>31</x:v>
      </x:c>
      <x:c r="C76" s="8" t="str">
        <x:v>Non-binary</x:v>
      </x:c>
      <x:c r="D76" s="8" t="str">
        <x:v>West</x:v>
      </x:c>
      <x:c r="E76" s="14" t="n">
        <x:v>65000</x:v>
      </x:c>
      <x:c r="F76" s="8" t="n">
        <x:v>12</x:v>
      </x:c>
      <x:c r="G76" s="14" t="n">
        <x:v>110</x:v>
      </x:c>
      <x:c r="H76" s="14" t="n">
        <x:f>F76*G76</x:f>
        <x:v>1320</x:v>
      </x:c>
      <x:c r="I76" s="8" t="n">
        <x:v>12</x:v>
      </x:c>
      <x:c r="J76" s="8" t="n">
        <x:v>13</x:v>
      </x:c>
      <x:c r="K76" s="17" t="n">
        <x:v>0.538</x:v>
      </x:c>
      <x:c r="L76" s="8" t="str">
        <x:v>Fashion</x:v>
      </x:c>
      <x:c r="M76" s="8" t="n">
        <x:v>2</x:v>
      </x:c>
      <x:c r="N76" s="9" t="str">
        <x:v>Loyal Customers</x:v>
      </x:c>
    </x:row>
    <x:row r="77">
      <x:c r="A77" s="7" t="str">
        <x:v>CUST-1076</x:v>
      </x:c>
      <x:c r="B77" s="8" t="n">
        <x:v>38</x:v>
      </x:c>
      <x:c r="C77" s="8" t="str">
        <x:v>Female</x:v>
      </x:c>
      <x:c r="D77" s="8" t="str">
        <x:v>East</x:v>
      </x:c>
      <x:c r="E77" s="14" t="n">
        <x:v>82200</x:v>
      </x:c>
      <x:c r="F77" s="8" t="n">
        <x:v>14</x:v>
      </x:c>
      <x:c r="G77" s="14" t="n">
        <x:v>145</x:v>
      </x:c>
      <x:c r="H77" s="14" t="n">
        <x:f>F77*G77</x:f>
        <x:v>2030</x:v>
      </x:c>
      <x:c r="I77" s="8" t="n">
        <x:v>33</x:v>
      </x:c>
      <x:c r="J77" s="8" t="n">
        <x:v>17</x:v>
      </x:c>
      <x:c r="K77" s="17" t="n">
        <x:v>0.6639999999999999</x:v>
      </x:c>
      <x:c r="L77" s="8" t="str">
        <x:v>Beauty</x:v>
      </x:c>
      <x:c r="M77" s="8" t="n">
        <x:v>2</x:v>
      </x:c>
      <x:c r="N77" s="9" t="str">
        <x:v>Loyal Customers</x:v>
      </x:c>
    </x:row>
    <x:row r="78">
      <x:c r="A78" s="7" t="str">
        <x:v>CUST-1077</x:v>
      </x:c>
      <x:c r="B78" s="8" t="n">
        <x:v>32</x:v>
      </x:c>
      <x:c r="C78" s="8" t="str">
        <x:v>Male</x:v>
      </x:c>
      <x:c r="D78" s="8" t="str">
        <x:v>South</x:v>
      </x:c>
      <x:c r="E78" s="14" t="n">
        <x:v>65100</x:v>
      </x:c>
      <x:c r="F78" s="8" t="n">
        <x:v>12</x:v>
      </x:c>
      <x:c r="G78" s="14" t="n">
        <x:v>115</x:v>
      </x:c>
      <x:c r="H78" s="14" t="n">
        <x:f>F78*G78</x:f>
        <x:v>1380</x:v>
      </x:c>
      <x:c r="I78" s="8" t="n">
        <x:v>15</x:v>
      </x:c>
      <x:c r="J78" s="8" t="n">
        <x:v>14</x:v>
      </x:c>
      <x:c r="K78" s="17" t="n">
        <x:v>0.556</x:v>
      </x:c>
      <x:c r="L78" s="8" t="str">
        <x:v>Fashion</x:v>
      </x:c>
      <x:c r="M78" s="8" t="n">
        <x:v>2</x:v>
      </x:c>
      <x:c r="N78" s="9" t="str">
        <x:v>Loyal Customers</x:v>
      </x:c>
    </x:row>
    <x:row r="79">
      <x:c r="A79" s="7" t="str">
        <x:v>CUST-1078</x:v>
      </x:c>
      <x:c r="B79" s="8" t="n">
        <x:v>39</x:v>
      </x:c>
      <x:c r="C79" s="8" t="str">
        <x:v>Non-binary</x:v>
      </x:c>
      <x:c r="D79" s="8" t="str">
        <x:v>North</x:v>
      </x:c>
      <x:c r="E79" s="14" t="n">
        <x:v>82300</x:v>
      </x:c>
      <x:c r="F79" s="8" t="n">
        <x:v>14</x:v>
      </x:c>
      <x:c r="G79" s="14" t="n">
        <x:v>150</x:v>
      </x:c>
      <x:c r="H79" s="14" t="n">
        <x:f>F79*G79</x:f>
        <x:v>2100</x:v>
      </x:c>
      <x:c r="I79" s="8" t="n">
        <x:v>36</x:v>
      </x:c>
      <x:c r="J79" s="8" t="n">
        <x:v>17</x:v>
      </x:c>
      <x:c r="K79" s="17" t="n">
        <x:v>0.6819999999999999</x:v>
      </x:c>
      <x:c r="L79" s="8" t="str">
        <x:v>Beauty</x:v>
      </x:c>
      <x:c r="M79" s="8" t="n">
        <x:v>2</x:v>
      </x:c>
      <x:c r="N79" s="9" t="str">
        <x:v>Loyal Customers</x:v>
      </x:c>
    </x:row>
    <x:row r="80">
      <x:c r="A80" s="7" t="str">
        <x:v>CUST-1079</x:v>
      </x:c>
      <x:c r="B80" s="8" t="n">
        <x:v>33</x:v>
      </x:c>
      <x:c r="C80" s="8" t="str">
        <x:v>Female</x:v>
      </x:c>
      <x:c r="D80" s="8" t="str">
        <x:v>West</x:v>
      </x:c>
      <x:c r="E80" s="14" t="n">
        <x:v>69600</x:v>
      </x:c>
      <x:c r="F80" s="8" t="n">
        <x:v>12</x:v>
      </x:c>
      <x:c r="G80" s="14" t="n">
        <x:v>120</x:v>
      </x:c>
      <x:c r="H80" s="14" t="n">
        <x:f>F80*G80</x:f>
        <x:v>1440</x:v>
      </x:c>
      <x:c r="I80" s="8" t="n">
        <x:v>18</x:v>
      </x:c>
      <x:c r="J80" s="8" t="n">
        <x:v>14</x:v>
      </x:c>
      <x:c r="K80" s="17" t="n">
        <x:v>0.574</x:v>
      </x:c>
      <x:c r="L80" s="8" t="str">
        <x:v>Fashion</x:v>
      </x:c>
      <x:c r="M80" s="8" t="n">
        <x:v>2</x:v>
      </x:c>
      <x:c r="N80" s="9" t="str">
        <x:v>Loyal Customers</x:v>
      </x:c>
    </x:row>
    <x:row r="81">
      <x:c r="A81" s="7" t="str">
        <x:v>CUST-1080</x:v>
      </x:c>
      <x:c r="B81" s="8" t="n">
        <x:v>40</x:v>
      </x:c>
      <x:c r="C81" s="8" t="str">
        <x:v>Male</x:v>
      </x:c>
      <x:c r="D81" s="8" t="str">
        <x:v>East</x:v>
      </x:c>
      <x:c r="E81" s="14" t="n">
        <x:v>86800</x:v>
      </x:c>
      <x:c r="F81" s="8" t="n">
        <x:v>15</x:v>
      </x:c>
      <x:c r="G81" s="14" t="n">
        <x:v>155</x:v>
      </x:c>
      <x:c r="H81" s="14" t="n">
        <x:f>F81*G81</x:f>
        <x:v>2325</x:v>
      </x:c>
      <x:c r="I81" s="8" t="n">
        <x:v>39</x:v>
      </x:c>
      <x:c r="J81" s="8" t="n">
        <x:v>18</x:v>
      </x:c>
      <x:c r="K81" s="17" t="n">
        <x:v>0.7</x:v>
      </x:c>
      <x:c r="L81" s="8" t="str">
        <x:v>Beauty</x:v>
      </x:c>
      <x:c r="M81" s="8" t="n">
        <x:v>2</x:v>
      </x:c>
      <x:c r="N81" s="9" t="str">
        <x:v>Loyal Customers</x:v>
      </x:c>
    </x:row>
    <x:row r="82">
      <x:c r="A82" s="7" t="str">
        <x:v>CUST-1081</x:v>
      </x:c>
      <x:c r="B82" s="8" t="n">
        <x:v>34</x:v>
      </x:c>
      <x:c r="C82" s="8" t="str">
        <x:v>Non-binary</x:v>
      </x:c>
      <x:c r="D82" s="8" t="str">
        <x:v>South</x:v>
      </x:c>
      <x:c r="E82" s="14" t="n">
        <x:v>69700</x:v>
      </x:c>
      <x:c r="F82" s="8" t="n">
        <x:v>13</x:v>
      </x:c>
      <x:c r="G82" s="14" t="n">
        <x:v>125</x:v>
      </x:c>
      <x:c r="H82" s="14" t="n">
        <x:f>F82*G82</x:f>
        <x:v>1625</x:v>
      </x:c>
      <x:c r="I82" s="8" t="n">
        <x:v>21</x:v>
      </x:c>
      <x:c r="J82" s="8" t="n">
        <x:v>15</x:v>
      </x:c>
      <x:c r="K82" s="17" t="n">
        <x:v>0.592</x:v>
      </x:c>
      <x:c r="L82" s="8" t="str">
        <x:v>Fashion</x:v>
      </x:c>
      <x:c r="M82" s="8" t="n">
        <x:v>2</x:v>
      </x:c>
      <x:c r="N82" s="9" t="str">
        <x:v>Loyal Customers</x:v>
      </x:c>
    </x:row>
    <x:row r="83">
      <x:c r="A83" s="7" t="str">
        <x:v>CUST-1082</x:v>
      </x:c>
      <x:c r="B83" s="8" t="n">
        <x:v>41</x:v>
      </x:c>
      <x:c r="C83" s="8" t="str">
        <x:v>Female</x:v>
      </x:c>
      <x:c r="D83" s="8" t="str">
        <x:v>North</x:v>
      </x:c>
      <x:c r="E83" s="14" t="n">
        <x:v>86900</x:v>
      </x:c>
      <x:c r="F83" s="8" t="n">
        <x:v>15</x:v>
      </x:c>
      <x:c r="G83" s="14" t="n">
        <x:v>160</x:v>
      </x:c>
      <x:c r="H83" s="14" t="n">
        <x:f>F83*G83</x:f>
        <x:v>2400</x:v>
      </x:c>
      <x:c r="I83" s="8" t="n">
        <x:v>42</x:v>
      </x:c>
      <x:c r="J83" s="8" t="n">
        <x:v>18</x:v>
      </x:c>
      <x:c r="K83" s="17" t="n">
        <x:v>0.718</x:v>
      </x:c>
      <x:c r="L83" s="8" t="str">
        <x:v>Beauty</x:v>
      </x:c>
      <x:c r="M83" s="8" t="n">
        <x:v>2</x:v>
      </x:c>
      <x:c r="N83" s="9" t="str">
        <x:v>Loyal Customers</x:v>
      </x:c>
    </x:row>
    <x:row r="84">
      <x:c r="A84" s="7" t="str">
        <x:v>CUST-1083</x:v>
      </x:c>
      <x:c r="B84" s="8" t="n">
        <x:v>35</x:v>
      </x:c>
      <x:c r="C84" s="8" t="str">
        <x:v>Male</x:v>
      </x:c>
      <x:c r="D84" s="8" t="str">
        <x:v>West</x:v>
      </x:c>
      <x:c r="E84" s="14" t="n">
        <x:v>74200</x:v>
      </x:c>
      <x:c r="F84" s="8" t="n">
        <x:v>13</x:v>
      </x:c>
      <x:c r="G84" s="14" t="n">
        <x:v>130</x:v>
      </x:c>
      <x:c r="H84" s="14" t="n">
        <x:f>F84*G84</x:f>
        <x:v>1690</x:v>
      </x:c>
      <x:c r="I84" s="8" t="n">
        <x:v>24</x:v>
      </x:c>
      <x:c r="J84" s="8" t="n">
        <x:v>15</x:v>
      </x:c>
      <x:c r="K84" s="17" t="n">
        <x:v>0.61</x:v>
      </x:c>
      <x:c r="L84" s="8" t="str">
        <x:v>Fashion</x:v>
      </x:c>
      <x:c r="M84" s="8" t="n">
        <x:v>2</x:v>
      </x:c>
      <x:c r="N84" s="9" t="str">
        <x:v>Loyal Customers</x:v>
      </x:c>
    </x:row>
    <x:row r="85">
      <x:c r="A85" s="7" t="str">
        <x:v>CUST-1084</x:v>
      </x:c>
      <x:c r="B85" s="8" t="n">
        <x:v>29</x:v>
      </x:c>
      <x:c r="C85" s="8" t="str">
        <x:v>Non-binary</x:v>
      </x:c>
      <x:c r="D85" s="8" t="str">
        <x:v>East</x:v>
      </x:c>
      <x:c r="E85" s="14" t="n">
        <x:v>61500</x:v>
      </x:c>
      <x:c r="F85" s="8" t="n">
        <x:v>11</x:v>
      </x:c>
      <x:c r="G85" s="14" t="n">
        <x:v>100</x:v>
      </x:c>
      <x:c r="H85" s="14" t="n">
        <x:f>F85*G85</x:f>
        <x:v>1100</x:v>
      </x:c>
      <x:c r="I85" s="8" t="n">
        <x:v>6</x:v>
      </x:c>
      <x:c r="J85" s="8" t="n">
        <x:v>12</x:v>
      </x:c>
      <x:c r="K85" s="17" t="n">
        <x:v>0.502</x:v>
      </x:c>
      <x:c r="L85" s="8" t="str">
        <x:v>Beauty</x:v>
      </x:c>
      <x:c r="M85" s="8" t="n">
        <x:v>2</x:v>
      </x:c>
      <x:c r="N85" s="9" t="str">
        <x:v>Loyal Customers</x:v>
      </x:c>
    </x:row>
    <x:row r="86">
      <x:c r="A86" s="7" t="str">
        <x:v>CUST-1085</x:v>
      </x:c>
      <x:c r="B86" s="8" t="n">
        <x:v>36</x:v>
      </x:c>
      <x:c r="C86" s="8" t="str">
        <x:v>Female</x:v>
      </x:c>
      <x:c r="D86" s="8" t="str">
        <x:v>South</x:v>
      </x:c>
      <x:c r="E86" s="14" t="n">
        <x:v>74300</x:v>
      </x:c>
      <x:c r="F86" s="8" t="n">
        <x:v>13</x:v>
      </x:c>
      <x:c r="G86" s="14" t="n">
        <x:v>135</x:v>
      </x:c>
      <x:c r="H86" s="14" t="n">
        <x:f>F86*G86</x:f>
        <x:v>1755</x:v>
      </x:c>
      <x:c r="I86" s="8" t="n">
        <x:v>27</x:v>
      </x:c>
      <x:c r="J86" s="8" t="n">
        <x:v>16</x:v>
      </x:c>
      <x:c r="K86" s="17" t="n">
        <x:v>0.628</x:v>
      </x:c>
      <x:c r="L86" s="8" t="str">
        <x:v>Fashion</x:v>
      </x:c>
      <x:c r="M86" s="8" t="n">
        <x:v>2</x:v>
      </x:c>
      <x:c r="N86" s="9" t="str">
        <x:v>Loyal Customers</x:v>
      </x:c>
    </x:row>
    <x:row r="87">
      <x:c r="A87" s="7" t="str">
        <x:v>CUST-1086</x:v>
      </x:c>
      <x:c r="B87" s="8" t="n">
        <x:v>50</x:v>
      </x:c>
      <x:c r="C87" s="8" t="str">
        <x:v>Non-binary</x:v>
      </x:c>
      <x:c r="D87" s="8" t="str">
        <x:v>East</x:v>
      </x:c>
      <x:c r="E87" s="14" t="n">
        <x:v>92900</x:v>
      </x:c>
      <x:c r="F87" s="8" t="n">
        <x:v>9</x:v>
      </x:c>
      <x:c r="G87" s="14" t="n">
        <x:v>185</x:v>
      </x:c>
      <x:c r="H87" s="14" t="n">
        <x:f>F87*G87</x:f>
        <x:v>1665</x:v>
      </x:c>
      <x:c r="I87" s="8" t="n">
        <x:v>151</x:v>
      </x:c>
      <x:c r="J87" s="8" t="n">
        <x:v>7</x:v>
      </x:c>
      <x:c r="K87" s="17" t="n">
        <x:v>0.294</x:v>
      </x:c>
      <x:c r="L87" s="8" t="str">
        <x:v>Home &amp; Living</x:v>
      </x:c>
      <x:c r="M87" s="8" t="n">
        <x:v>3</x:v>
      </x:c>
      <x:c r="N87" s="9" t="str">
        <x:v>At Risk</x:v>
      </x:c>
    </x:row>
    <x:row r="88">
      <x:c r="A88" s="7" t="str">
        <x:v>CUST-1087</x:v>
      </x:c>
      <x:c r="B88" s="8" t="n">
        <x:v>44</x:v>
      </x:c>
      <x:c r="C88" s="8" t="str">
        <x:v>Female</x:v>
      </x:c>
      <x:c r="D88" s="8" t="str">
        <x:v>South</x:v>
      </x:c>
      <x:c r="E88" s="14" t="n">
        <x:v>80200</x:v>
      </x:c>
      <x:c r="F88" s="8" t="n">
        <x:v>7</x:v>
      </x:c>
      <x:c r="G88" s="14" t="n">
        <x:v>155</x:v>
      </x:c>
      <x:c r="H88" s="14" t="n">
        <x:f>F88*G88</x:f>
        <x:v>1085</x:v>
      </x:c>
      <x:c r="I88" s="8" t="n">
        <x:v>133</x:v>
      </x:c>
      <x:c r="J88" s="8" t="n">
        <x:v>4</x:v>
      </x:c>
      <x:c r="K88" s="17" t="n">
        <x:v>0.186</x:v>
      </x:c>
      <x:c r="L88" s="8" t="str">
        <x:v>Technology</x:v>
      </x:c>
      <x:c r="M88" s="8" t="n">
        <x:v>3</x:v>
      </x:c>
      <x:c r="N88" s="9" t="str">
        <x:v>At Risk</x:v>
      </x:c>
    </x:row>
    <x:row r="89">
      <x:c r="A89" s="7" t="str">
        <x:v>CUST-1088</x:v>
      </x:c>
      <x:c r="B89" s="8" t="n">
        <x:v>51</x:v>
      </x:c>
      <x:c r="C89" s="8" t="str">
        <x:v>Male</x:v>
      </x:c>
      <x:c r="D89" s="8" t="str">
        <x:v>North</x:v>
      </x:c>
      <x:c r="E89" s="14" t="n">
        <x:v>97400</x:v>
      </x:c>
      <x:c r="F89" s="8" t="n">
        <x:v>9</x:v>
      </x:c>
      <x:c r="G89" s="14" t="n">
        <x:v>190</x:v>
      </x:c>
      <x:c r="H89" s="14" t="n">
        <x:f>F89*G89</x:f>
        <x:v>1710</x:v>
      </x:c>
      <x:c r="I89" s="8" t="n">
        <x:v>154</x:v>
      </x:c>
      <x:c r="J89" s="8" t="n">
        <x:v>7</x:v>
      </x:c>
      <x:c r="K89" s="17" t="n">
        <x:v>0.312</x:v>
      </x:c>
      <x:c r="L89" s="8" t="str">
        <x:v>Home &amp; Living</x:v>
      </x:c>
      <x:c r="M89" s="8" t="n">
        <x:v>3</x:v>
      </x:c>
      <x:c r="N89" s="9" t="str">
        <x:v>At Risk</x:v>
      </x:c>
    </x:row>
    <x:row r="90">
      <x:c r="A90" s="7" t="str">
        <x:v>CUST-1089</x:v>
      </x:c>
      <x:c r="B90" s="8" t="n">
        <x:v>45</x:v>
      </x:c>
      <x:c r="C90" s="8" t="str">
        <x:v>Non-binary</x:v>
      </x:c>
      <x:c r="D90" s="8" t="str">
        <x:v>West</x:v>
      </x:c>
      <x:c r="E90" s="14" t="n">
        <x:v>84700</x:v>
      </x:c>
      <x:c r="F90" s="8" t="n">
        <x:v>7</x:v>
      </x:c>
      <x:c r="G90" s="14" t="n">
        <x:v>160</x:v>
      </x:c>
      <x:c r="H90" s="14" t="n">
        <x:f>F90*G90</x:f>
        <x:v>1120</x:v>
      </x:c>
      <x:c r="I90" s="8" t="n">
        <x:v>136</x:v>
      </x:c>
      <x:c r="J90" s="8" t="n">
        <x:v>4</x:v>
      </x:c>
      <x:c r="K90" s="17" t="n">
        <x:v>0.204</x:v>
      </x:c>
      <x:c r="L90" s="8" t="str">
        <x:v>Technology</x:v>
      </x:c>
      <x:c r="M90" s="8" t="n">
        <x:v>3</x:v>
      </x:c>
      <x:c r="N90" s="9" t="str">
        <x:v>At Risk</x:v>
      </x:c>
    </x:row>
    <x:row r="91">
      <x:c r="A91" s="7" t="str">
        <x:v>CUST-1090</x:v>
      </x:c>
      <x:c r="B91" s="8" t="n">
        <x:v>52</x:v>
      </x:c>
      <x:c r="C91" s="8" t="str">
        <x:v>Female</x:v>
      </x:c>
      <x:c r="D91" s="8" t="str">
        <x:v>East</x:v>
      </x:c>
      <x:c r="E91" s="14" t="n">
        <x:v>97500</x:v>
      </x:c>
      <x:c r="F91" s="8" t="n">
        <x:v>10</x:v>
      </x:c>
      <x:c r="G91" s="14" t="n">
        <x:v>195</x:v>
      </x:c>
      <x:c r="H91" s="14" t="n">
        <x:f>F91*G91</x:f>
        <x:v>1950</x:v>
      </x:c>
      <x:c r="I91" s="8" t="n">
        <x:v>157</x:v>
      </x:c>
      <x:c r="J91" s="8" t="n">
        <x:v>8</x:v>
      </x:c>
      <x:c r="K91" s="17" t="n">
        <x:v>0.32999999999999996</x:v>
      </x:c>
      <x:c r="L91" s="8" t="str">
        <x:v>Home &amp; Living</x:v>
      </x:c>
      <x:c r="M91" s="8" t="n">
        <x:v>3</x:v>
      </x:c>
      <x:c r="N91" s="9" t="str">
        <x:v>At Risk</x:v>
      </x:c>
    </x:row>
    <x:row r="92">
      <x:c r="A92" s="7" t="str">
        <x:v>CUST-1091</x:v>
      </x:c>
      <x:c r="B92" s="8" t="n">
        <x:v>46</x:v>
      </x:c>
      <x:c r="C92" s="8" t="str">
        <x:v>Male</x:v>
      </x:c>
      <x:c r="D92" s="8" t="str">
        <x:v>South</x:v>
      </x:c>
      <x:c r="E92" s="14" t="n">
        <x:v>84800</x:v>
      </x:c>
      <x:c r="F92" s="8" t="n">
        <x:v>8</x:v>
      </x:c>
      <x:c r="G92" s="14" t="n">
        <x:v>165</x:v>
      </x:c>
      <x:c r="H92" s="14" t="n">
        <x:f>F92*G92</x:f>
        <x:v>1320</x:v>
      </x:c>
      <x:c r="I92" s="8" t="n">
        <x:v>139</x:v>
      </x:c>
      <x:c r="J92" s="8" t="n">
        <x:v>5</x:v>
      </x:c>
      <x:c r="K92" s="17" t="n">
        <x:v>0.222</x:v>
      </x:c>
      <x:c r="L92" s="8" t="str">
        <x:v>Technology</x:v>
      </x:c>
      <x:c r="M92" s="8" t="n">
        <x:v>3</x:v>
      </x:c>
      <x:c r="N92" s="9" t="str">
        <x:v>At Risk</x:v>
      </x:c>
    </x:row>
    <x:row r="93">
      <x:c r="A93" s="7" t="str">
        <x:v>CUST-1092</x:v>
      </x:c>
      <x:c r="B93" s="8" t="n">
        <x:v>53</x:v>
      </x:c>
      <x:c r="C93" s="8" t="str">
        <x:v>Non-binary</x:v>
      </x:c>
      <x:c r="D93" s="8" t="str">
        <x:v>North</x:v>
      </x:c>
      <x:c r="E93" s="14" t="n">
        <x:v>102000</x:v>
      </x:c>
      <x:c r="F93" s="8" t="n">
        <x:v>10</x:v>
      </x:c>
      <x:c r="G93" s="14" t="n">
        <x:v>200</x:v>
      </x:c>
      <x:c r="H93" s="14" t="n">
        <x:f>F93*G93</x:f>
        <x:v>2000</x:v>
      </x:c>
      <x:c r="I93" s="8" t="n">
        <x:v>160</x:v>
      </x:c>
      <x:c r="J93" s="8" t="n">
        <x:v>8</x:v>
      </x:c>
      <x:c r="K93" s="17" t="n">
        <x:v>0.348</x:v>
      </x:c>
      <x:c r="L93" s="8" t="str">
        <x:v>Home &amp; Living</x:v>
      </x:c>
      <x:c r="M93" s="8" t="n">
        <x:v>3</x:v>
      </x:c>
      <x:c r="N93" s="9" t="str">
        <x:v>At Risk</x:v>
      </x:c>
    </x:row>
    <x:row r="94">
      <x:c r="A94" s="7" t="str">
        <x:v>CUST-1093</x:v>
      </x:c>
      <x:c r="B94" s="8" t="n">
        <x:v>47</x:v>
      </x:c>
      <x:c r="C94" s="8" t="str">
        <x:v>Female</x:v>
      </x:c>
      <x:c r="D94" s="8" t="str">
        <x:v>West</x:v>
      </x:c>
      <x:c r="E94" s="14" t="n">
        <x:v>89300</x:v>
      </x:c>
      <x:c r="F94" s="8" t="n">
        <x:v>8</x:v>
      </x:c>
      <x:c r="G94" s="14" t="n">
        <x:v>170</x:v>
      </x:c>
      <x:c r="H94" s="14" t="n">
        <x:f>F94*G94</x:f>
        <x:v>1360</x:v>
      </x:c>
      <x:c r="I94" s="8" t="n">
        <x:v>142</x:v>
      </x:c>
      <x:c r="J94" s="8" t="n">
        <x:v>5</x:v>
      </x:c>
      <x:c r="K94" s="17" t="n">
        <x:v>0.24</x:v>
      </x:c>
      <x:c r="L94" s="8" t="str">
        <x:v>Technology</x:v>
      </x:c>
      <x:c r="M94" s="8" t="n">
        <x:v>3</x:v>
      </x:c>
      <x:c r="N94" s="9" t="str">
        <x:v>At Risk</x:v>
      </x:c>
    </x:row>
    <x:row r="95">
      <x:c r="A95" s="7" t="str">
        <x:v>CUST-1094</x:v>
      </x:c>
      <x:c r="B95" s="8" t="n">
        <x:v>41</x:v>
      </x:c>
      <x:c r="C95" s="8" t="str">
        <x:v>Male</x:v>
      </x:c>
      <x:c r="D95" s="8" t="str">
        <x:v>East</x:v>
      </x:c>
      <x:c r="E95" s="14" t="n">
        <x:v>72200</x:v>
      </x:c>
      <x:c r="F95" s="8" t="n">
        <x:v>6</x:v>
      </x:c>
      <x:c r="G95" s="14" t="n">
        <x:v>140</x:v>
      </x:c>
      <x:c r="H95" s="14" t="n">
        <x:f>F95*G95</x:f>
        <x:v>840</x:v>
      </x:c>
      <x:c r="I95" s="8" t="n">
        <x:v>124</x:v>
      </x:c>
      <x:c r="J95" s="8" t="n">
        <x:v>2</x:v>
      </x:c>
      <x:c r="K95" s="17" t="n">
        <x:v>0.132</x:v>
      </x:c>
      <x:c r="L95" s="8" t="str">
        <x:v>Home &amp; Living</x:v>
      </x:c>
      <x:c r="M95" s="8" t="n">
        <x:v>3</x:v>
      </x:c>
      <x:c r="N95" s="9" t="str">
        <x:v>At Risk</x:v>
      </x:c>
    </x:row>
    <x:row r="96">
      <x:c r="A96" s="7" t="str">
        <x:v>CUST-1095</x:v>
      </x:c>
      <x:c r="B96" s="8" t="n">
        <x:v>48</x:v>
      </x:c>
      <x:c r="C96" s="8" t="str">
        <x:v>Non-binary</x:v>
      </x:c>
      <x:c r="D96" s="8" t="str">
        <x:v>South</x:v>
      </x:c>
      <x:c r="E96" s="14" t="n">
        <x:v>89400</x:v>
      </x:c>
      <x:c r="F96" s="8" t="n">
        <x:v>8</x:v>
      </x:c>
      <x:c r="G96" s="14" t="n">
        <x:v>175</x:v>
      </x:c>
      <x:c r="H96" s="14" t="n">
        <x:f>F96*G96</x:f>
        <x:v>1400</x:v>
      </x:c>
      <x:c r="I96" s="8" t="n">
        <x:v>145</x:v>
      </x:c>
      <x:c r="J96" s="8" t="n">
        <x:v>6</x:v>
      </x:c>
      <x:c r="K96" s="17" t="n">
        <x:v>0.258</x:v>
      </x:c>
      <x:c r="L96" s="8" t="str">
        <x:v>Technology</x:v>
      </x:c>
      <x:c r="M96" s="8" t="n">
        <x:v>3</x:v>
      </x:c>
      <x:c r="N96" s="9" t="str">
        <x:v>At Risk</x:v>
      </x:c>
    </x:row>
    <x:row r="97">
      <x:c r="A97" s="7" t="str">
        <x:v>CUST-1096</x:v>
      </x:c>
      <x:c r="B97" s="8" t="n">
        <x:v>42</x:v>
      </x:c>
      <x:c r="C97" s="8" t="str">
        <x:v>Female</x:v>
      </x:c>
      <x:c r="D97" s="8" t="str">
        <x:v>North</x:v>
      </x:c>
      <x:c r="E97" s="14" t="n">
        <x:v>76700</x:v>
      </x:c>
      <x:c r="F97" s="8" t="n">
        <x:v>6</x:v>
      </x:c>
      <x:c r="G97" s="14" t="n">
        <x:v>145</x:v>
      </x:c>
      <x:c r="H97" s="14" t="n">
        <x:f>F97*G97</x:f>
        <x:v>870</x:v>
      </x:c>
      <x:c r="I97" s="8" t="n">
        <x:v>127</x:v>
      </x:c>
      <x:c r="J97" s="8" t="n">
        <x:v>3</x:v>
      </x:c>
      <x:c r="K97" s="17" t="n">
        <x:v>0.15</x:v>
      </x:c>
      <x:c r="L97" s="8" t="str">
        <x:v>Home &amp; Living</x:v>
      </x:c>
      <x:c r="M97" s="8" t="n">
        <x:v>3</x:v>
      </x:c>
      <x:c r="N97" s="9" t="str">
        <x:v>At Risk</x:v>
      </x:c>
    </x:row>
    <x:row r="98">
      <x:c r="A98" s="7" t="str">
        <x:v>CUST-1097</x:v>
      </x:c>
      <x:c r="B98" s="8" t="n">
        <x:v>49</x:v>
      </x:c>
      <x:c r="C98" s="8" t="str">
        <x:v>Male</x:v>
      </x:c>
      <x:c r="D98" s="8" t="str">
        <x:v>West</x:v>
      </x:c>
      <x:c r="E98" s="14" t="n">
        <x:v>93900</x:v>
      </x:c>
      <x:c r="F98" s="8" t="n">
        <x:v>9</x:v>
      </x:c>
      <x:c r="G98" s="14" t="n">
        <x:v>180</x:v>
      </x:c>
      <x:c r="H98" s="14" t="n">
        <x:f>F98*G98</x:f>
        <x:v>1620</x:v>
      </x:c>
      <x:c r="I98" s="8" t="n">
        <x:v>148</x:v>
      </x:c>
      <x:c r="J98" s="8" t="n">
        <x:v>6</x:v>
      </x:c>
      <x:c r="K98" s="17" t="n">
        <x:v>0.27599999999999997</x:v>
      </x:c>
      <x:c r="L98" s="8" t="str">
        <x:v>Technology</x:v>
      </x:c>
      <x:c r="M98" s="8" t="n">
        <x:v>3</x:v>
      </x:c>
      <x:c r="N98" s="9" t="str">
        <x:v>At Risk</x:v>
      </x:c>
    </x:row>
    <x:row r="99">
      <x:c r="A99" s="7" t="str">
        <x:v>CUST-1098</x:v>
      </x:c>
      <x:c r="B99" s="8" t="n">
        <x:v>43</x:v>
      </x:c>
      <x:c r="C99" s="8" t="str">
        <x:v>Non-binary</x:v>
      </x:c>
      <x:c r="D99" s="8" t="str">
        <x:v>East</x:v>
      </x:c>
      <x:c r="E99" s="14" t="n">
        <x:v>76800</x:v>
      </x:c>
      <x:c r="F99" s="8" t="n">
        <x:v>7</x:v>
      </x:c>
      <x:c r="G99" s="14" t="n">
        <x:v>150</x:v>
      </x:c>
      <x:c r="H99" s="14" t="n">
        <x:f>F99*G99</x:f>
        <x:v>1050</x:v>
      </x:c>
      <x:c r="I99" s="8" t="n">
        <x:v>130</x:v>
      </x:c>
      <x:c r="J99" s="8" t="n">
        <x:v>3</x:v>
      </x:c>
      <x:c r="K99" s="17" t="n">
        <x:v>0.16799999999999998</x:v>
      </x:c>
      <x:c r="L99" s="8" t="str">
        <x:v>Home &amp; Living</x:v>
      </x:c>
      <x:c r="M99" s="8" t="n">
        <x:v>3</x:v>
      </x:c>
      <x:c r="N99" s="9" t="str">
        <x:v>At Risk</x:v>
      </x:c>
    </x:row>
    <x:row r="100">
      <x:c r="A100" s="7" t="str">
        <x:v>CUST-1099</x:v>
      </x:c>
      <x:c r="B100" s="8" t="n">
        <x:v>50</x:v>
      </x:c>
      <x:c r="C100" s="8" t="str">
        <x:v>Female</x:v>
      </x:c>
      <x:c r="D100" s="8" t="str">
        <x:v>South</x:v>
      </x:c>
      <x:c r="E100" s="14" t="n">
        <x:v>94000</x:v>
      </x:c>
      <x:c r="F100" s="8" t="n">
        <x:v>9</x:v>
      </x:c>
      <x:c r="G100" s="14" t="n">
        <x:v>185</x:v>
      </x:c>
      <x:c r="H100" s="14" t="n">
        <x:f>F100*G100</x:f>
        <x:v>1665</x:v>
      </x:c>
      <x:c r="I100" s="8" t="n">
        <x:v>151</x:v>
      </x:c>
      <x:c r="J100" s="8" t="n">
        <x:v>7</x:v>
      </x:c>
      <x:c r="K100" s="17" t="n">
        <x:v>0.294</x:v>
      </x:c>
      <x:c r="L100" s="8" t="str">
        <x:v>Technology</x:v>
      </x:c>
      <x:c r="M100" s="8" t="n">
        <x:v>3</x:v>
      </x:c>
      <x:c r="N100" s="9" t="str">
        <x:v>At Risk</x:v>
      </x:c>
    </x:row>
    <x:row r="101">
      <x:c r="A101" s="7" t="str">
        <x:v>CUST-1100</x:v>
      </x:c>
      <x:c r="B101" s="8" t="n">
        <x:v>44</x:v>
      </x:c>
      <x:c r="C101" s="8" t="str">
        <x:v>Male</x:v>
      </x:c>
      <x:c r="D101" s="8" t="str">
        <x:v>North</x:v>
      </x:c>
      <x:c r="E101" s="14" t="n">
        <x:v>81300</x:v>
      </x:c>
      <x:c r="F101" s="8" t="n">
        <x:v>7</x:v>
      </x:c>
      <x:c r="G101" s="14" t="n">
        <x:v>155</x:v>
      </x:c>
      <x:c r="H101" s="14" t="n">
        <x:f>F101*G101</x:f>
        <x:v>1085</x:v>
      </x:c>
      <x:c r="I101" s="8" t="n">
        <x:v>133</x:v>
      </x:c>
      <x:c r="J101" s="8" t="n">
        <x:v>4</x:v>
      </x:c>
      <x:c r="K101" s="17" t="n">
        <x:v>0.186</x:v>
      </x:c>
      <x:c r="L101" s="8" t="str">
        <x:v>Home &amp; Living</x:v>
      </x:c>
      <x:c r="M101" s="8" t="n">
        <x:v>3</x:v>
      </x:c>
      <x:c r="N101" s="9" t="str">
        <x:v>At Risk</x:v>
      </x:c>
    </x:row>
    <x:row r="102">
      <x:c r="A102" s="7" t="str">
        <x:v>CUST-1101</x:v>
      </x:c>
      <x:c r="B102" s="8" t="n">
        <x:v>51</x:v>
      </x:c>
      <x:c r="C102" s="8" t="str">
        <x:v>Non-binary</x:v>
      </x:c>
      <x:c r="D102" s="8" t="str">
        <x:v>West</x:v>
      </x:c>
      <x:c r="E102" s="14" t="n">
        <x:v>98500</x:v>
      </x:c>
      <x:c r="F102" s="8" t="n">
        <x:v>9</x:v>
      </x:c>
      <x:c r="G102" s="14" t="n">
        <x:v>190</x:v>
      </x:c>
      <x:c r="H102" s="14" t="n">
        <x:f>F102*G102</x:f>
        <x:v>1710</x:v>
      </x:c>
      <x:c r="I102" s="8" t="n">
        <x:v>154</x:v>
      </x:c>
      <x:c r="J102" s="8" t="n">
        <x:v>7</x:v>
      </x:c>
      <x:c r="K102" s="17" t="n">
        <x:v>0.312</x:v>
      </x:c>
      <x:c r="L102" s="8" t="str">
        <x:v>Technology</x:v>
      </x:c>
      <x:c r="M102" s="8" t="n">
        <x:v>3</x:v>
      </x:c>
      <x:c r="N102" s="9" t="str">
        <x:v>At Risk</x:v>
      </x:c>
    </x:row>
    <x:row r="103">
      <x:c r="A103" s="7" t="str">
        <x:v>CUST-1102</x:v>
      </x:c>
      <x:c r="B103" s="8" t="n">
        <x:v>45</x:v>
      </x:c>
      <x:c r="C103" s="8" t="str">
        <x:v>Female</x:v>
      </x:c>
      <x:c r="D103" s="8" t="str">
        <x:v>East</x:v>
      </x:c>
      <x:c r="E103" s="14" t="n">
        <x:v>81400</x:v>
      </x:c>
      <x:c r="F103" s="8" t="n">
        <x:v>7</x:v>
      </x:c>
      <x:c r="G103" s="14" t="n">
        <x:v>160</x:v>
      </x:c>
      <x:c r="H103" s="14" t="n">
        <x:f>F103*G103</x:f>
        <x:v>1120</x:v>
      </x:c>
      <x:c r="I103" s="8" t="n">
        <x:v>136</x:v>
      </x:c>
      <x:c r="J103" s="8" t="n">
        <x:v>4</x:v>
      </x:c>
      <x:c r="K103" s="17" t="n">
        <x:v>0.204</x:v>
      </x:c>
      <x:c r="L103" s="8" t="str">
        <x:v>Home &amp; Living</x:v>
      </x:c>
      <x:c r="M103" s="8" t="n">
        <x:v>3</x:v>
      </x:c>
      <x:c r="N103" s="9" t="str">
        <x:v>At Risk</x:v>
      </x:c>
    </x:row>
    <x:row r="104">
      <x:c r="A104" s="7" t="str">
        <x:v>CUST-1103</x:v>
      </x:c>
      <x:c r="B104" s="8" t="n">
        <x:v>52</x:v>
      </x:c>
      <x:c r="C104" s="8" t="str">
        <x:v>Male</x:v>
      </x:c>
      <x:c r="D104" s="8" t="str">
        <x:v>South</x:v>
      </x:c>
      <x:c r="E104" s="14" t="n">
        <x:v>98600</x:v>
      </x:c>
      <x:c r="F104" s="8" t="n">
        <x:v>10</x:v>
      </x:c>
      <x:c r="G104" s="14" t="n">
        <x:v>195</x:v>
      </x:c>
      <x:c r="H104" s="14" t="n">
        <x:f>F104*G104</x:f>
        <x:v>1950</x:v>
      </x:c>
      <x:c r="I104" s="8" t="n">
        <x:v>157</x:v>
      </x:c>
      <x:c r="J104" s="8" t="n">
        <x:v>8</x:v>
      </x:c>
      <x:c r="K104" s="17" t="n">
        <x:v>0.32999999999999996</x:v>
      </x:c>
      <x:c r="L104" s="8" t="str">
        <x:v>Technology</x:v>
      </x:c>
      <x:c r="M104" s="8" t="n">
        <x:v>3</x:v>
      </x:c>
      <x:c r="N104" s="9" t="str">
        <x:v>At Risk</x:v>
      </x:c>
    </x:row>
    <x:row r="105">
      <x:c r="A105" s="7" t="str">
        <x:v>CUST-1104</x:v>
      </x:c>
      <x:c r="B105" s="8" t="n">
        <x:v>46</x:v>
      </x:c>
      <x:c r="C105" s="8" t="str">
        <x:v>Non-binary</x:v>
      </x:c>
      <x:c r="D105" s="8" t="str">
        <x:v>North</x:v>
      </x:c>
      <x:c r="E105" s="14" t="n">
        <x:v>85900</x:v>
      </x:c>
      <x:c r="F105" s="8" t="n">
        <x:v>8</x:v>
      </x:c>
      <x:c r="G105" s="14" t="n">
        <x:v>165</x:v>
      </x:c>
      <x:c r="H105" s="14" t="n">
        <x:f>F105*G105</x:f>
        <x:v>1320</x:v>
      </x:c>
      <x:c r="I105" s="8" t="n">
        <x:v>139</x:v>
      </x:c>
      <x:c r="J105" s="8" t="n">
        <x:v>5</x:v>
      </x:c>
      <x:c r="K105" s="17" t="n">
        <x:v>0.222</x:v>
      </x:c>
      <x:c r="L105" s="8" t="str">
        <x:v>Home &amp; Living</x:v>
      </x:c>
      <x:c r="M105" s="8" t="n">
        <x:v>3</x:v>
      </x:c>
      <x:c r="N105" s="9" t="str">
        <x:v>At Risk</x:v>
      </x:c>
    </x:row>
    <x:row r="106">
      <x:c r="A106" s="7" t="str">
        <x:v>CUST-1105</x:v>
      </x:c>
      <x:c r="B106" s="8" t="n">
        <x:v>53</x:v>
      </x:c>
      <x:c r="C106" s="8" t="str">
        <x:v>Female</x:v>
      </x:c>
      <x:c r="D106" s="8" t="str">
        <x:v>West</x:v>
      </x:c>
      <x:c r="E106" s="14" t="n">
        <x:v>103100</x:v>
      </x:c>
      <x:c r="F106" s="8" t="n">
        <x:v>10</x:v>
      </x:c>
      <x:c r="G106" s="14" t="n">
        <x:v>200</x:v>
      </x:c>
      <x:c r="H106" s="14" t="n">
        <x:f>F106*G106</x:f>
        <x:v>2000</x:v>
      </x:c>
      <x:c r="I106" s="8" t="n">
        <x:v>160</x:v>
      </x:c>
      <x:c r="J106" s="8" t="n">
        <x:v>8</x:v>
      </x:c>
      <x:c r="K106" s="17" t="n">
        <x:v>0.348</x:v>
      </x:c>
      <x:c r="L106" s="8" t="str">
        <x:v>Technology</x:v>
      </x:c>
      <x:c r="M106" s="8" t="n">
        <x:v>3</x:v>
      </x:c>
      <x:c r="N106" s="9" t="str">
        <x:v>At Risk</x:v>
      </x:c>
    </x:row>
    <x:row r="107">
      <x:c r="A107" s="7" t="str">
        <x:v>CUST-1106</x:v>
      </x:c>
      <x:c r="B107" s="8" t="n">
        <x:v>47</x:v>
      </x:c>
      <x:c r="C107" s="8" t="str">
        <x:v>Male</x:v>
      </x:c>
      <x:c r="D107" s="8" t="str">
        <x:v>East</x:v>
      </x:c>
      <x:c r="E107" s="14" t="n">
        <x:v>86000</x:v>
      </x:c>
      <x:c r="F107" s="8" t="n">
        <x:v>8</x:v>
      </x:c>
      <x:c r="G107" s="14" t="n">
        <x:v>170</x:v>
      </x:c>
      <x:c r="H107" s="14" t="n">
        <x:f>F107*G107</x:f>
        <x:v>1360</x:v>
      </x:c>
      <x:c r="I107" s="8" t="n">
        <x:v>142</x:v>
      </x:c>
      <x:c r="J107" s="8" t="n">
        <x:v>5</x:v>
      </x:c>
      <x:c r="K107" s="17" t="n">
        <x:v>0.24</x:v>
      </x:c>
      <x:c r="L107" s="8" t="str">
        <x:v>Home &amp; Living</x:v>
      </x:c>
      <x:c r="M107" s="8" t="n">
        <x:v>3</x:v>
      </x:c>
      <x:c r="N107" s="9" t="str">
        <x:v>At Risk</x:v>
      </x:c>
    </x:row>
    <x:row r="108">
      <x:c r="A108" s="7" t="str">
        <x:v>CUST-1107</x:v>
      </x:c>
      <x:c r="B108" s="8" t="n">
        <x:v>41</x:v>
      </x:c>
      <x:c r="C108" s="8" t="str">
        <x:v>Non-binary</x:v>
      </x:c>
      <x:c r="D108" s="8" t="str">
        <x:v>South</x:v>
      </x:c>
      <x:c r="E108" s="14" t="n">
        <x:v>73300</x:v>
      </x:c>
      <x:c r="F108" s="8" t="n">
        <x:v>6</x:v>
      </x:c>
      <x:c r="G108" s="14" t="n">
        <x:v>140</x:v>
      </x:c>
      <x:c r="H108" s="14" t="n">
        <x:f>F108*G108</x:f>
        <x:v>840</x:v>
      </x:c>
      <x:c r="I108" s="8" t="n">
        <x:v>124</x:v>
      </x:c>
      <x:c r="J108" s="8" t="n">
        <x:v>2</x:v>
      </x:c>
      <x:c r="K108" s="17" t="n">
        <x:v>0.132</x:v>
      </x:c>
      <x:c r="L108" s="8" t="str">
        <x:v>Technology</x:v>
      </x:c>
      <x:c r="M108" s="8" t="n">
        <x:v>3</x:v>
      </x:c>
      <x:c r="N108" s="9" t="str">
        <x:v>At Risk</x:v>
      </x:c>
    </x:row>
    <x:row r="109">
      <x:c r="A109" s="7" t="str">
        <x:v>CUST-1108</x:v>
      </x:c>
      <x:c r="B109" s="8" t="n">
        <x:v>48</x:v>
      </x:c>
      <x:c r="C109" s="8" t="str">
        <x:v>Female</x:v>
      </x:c>
      <x:c r="D109" s="8" t="str">
        <x:v>North</x:v>
      </x:c>
      <x:c r="E109" s="14" t="n">
        <x:v>90500</x:v>
      </x:c>
      <x:c r="F109" s="8" t="n">
        <x:v>8</x:v>
      </x:c>
      <x:c r="G109" s="14" t="n">
        <x:v>175</x:v>
      </x:c>
      <x:c r="H109" s="14" t="n">
        <x:f>F109*G109</x:f>
        <x:v>1400</x:v>
      </x:c>
      <x:c r="I109" s="8" t="n">
        <x:v>145</x:v>
      </x:c>
      <x:c r="J109" s="8" t="n">
        <x:v>6</x:v>
      </x:c>
      <x:c r="K109" s="17" t="n">
        <x:v>0.258</x:v>
      </x:c>
      <x:c r="L109" s="8" t="str">
        <x:v>Home &amp; Living</x:v>
      </x:c>
      <x:c r="M109" s="8" t="n">
        <x:v>3</x:v>
      </x:c>
      <x:c r="N109" s="9" t="str">
        <x:v>At Risk</x:v>
      </x:c>
    </x:row>
    <x:row r="110">
      <x:c r="A110" s="7" t="str">
        <x:v>CUST-1109</x:v>
      </x:c>
      <x:c r="B110" s="8" t="n">
        <x:v>42</x:v>
      </x:c>
      <x:c r="C110" s="8" t="str">
        <x:v>Male</x:v>
      </x:c>
      <x:c r="D110" s="8" t="str">
        <x:v>West</x:v>
      </x:c>
      <x:c r="E110" s="14" t="n">
        <x:v>77800</x:v>
      </x:c>
      <x:c r="F110" s="8" t="n">
        <x:v>6</x:v>
      </x:c>
      <x:c r="G110" s="14" t="n">
        <x:v>145</x:v>
      </x:c>
      <x:c r="H110" s="14" t="n">
        <x:f>F110*G110</x:f>
        <x:v>870</x:v>
      </x:c>
      <x:c r="I110" s="8" t="n">
        <x:v>127</x:v>
      </x:c>
      <x:c r="J110" s="8" t="n">
        <x:v>3</x:v>
      </x:c>
      <x:c r="K110" s="17" t="n">
        <x:v>0.15</x:v>
      </x:c>
      <x:c r="L110" s="8" t="str">
        <x:v>Technology</x:v>
      </x:c>
      <x:c r="M110" s="8" t="n">
        <x:v>3</x:v>
      </x:c>
      <x:c r="N110" s="9" t="str">
        <x:v>At Risk</x:v>
      </x:c>
    </x:row>
    <x:row r="111">
      <x:c r="A111" s="7" t="str">
        <x:v>CUST-1110</x:v>
      </x:c>
      <x:c r="B111" s="8" t="n">
        <x:v>49</x:v>
      </x:c>
      <x:c r="C111" s="8" t="str">
        <x:v>Non-binary</x:v>
      </x:c>
      <x:c r="D111" s="8" t="str">
        <x:v>East</x:v>
      </x:c>
      <x:c r="E111" s="14" t="n">
        <x:v>90600</x:v>
      </x:c>
      <x:c r="F111" s="8" t="n">
        <x:v>9</x:v>
      </x:c>
      <x:c r="G111" s="14" t="n">
        <x:v>180</x:v>
      </x:c>
      <x:c r="H111" s="14" t="n">
        <x:f>F111*G111</x:f>
        <x:v>1620</x:v>
      </x:c>
      <x:c r="I111" s="8" t="n">
        <x:v>148</x:v>
      </x:c>
      <x:c r="J111" s="8" t="n">
        <x:v>6</x:v>
      </x:c>
      <x:c r="K111" s="17" t="n">
        <x:v>0.27599999999999997</x:v>
      </x:c>
      <x:c r="L111" s="8" t="str">
        <x:v>Home &amp; Living</x:v>
      </x:c>
      <x:c r="M111" s="8" t="n">
        <x:v>3</x:v>
      </x:c>
      <x:c r="N111" s="9" t="str">
        <x:v>At Risk</x:v>
      </x:c>
    </x:row>
    <x:row r="112">
      <x:c r="A112" s="7" t="str">
        <x:v>CUST-1111</x:v>
      </x:c>
      <x:c r="B112" s="8" t="n">
        <x:v>43</x:v>
      </x:c>
      <x:c r="C112" s="8" t="str">
        <x:v>Female</x:v>
      </x:c>
      <x:c r="D112" s="8" t="str">
        <x:v>South</x:v>
      </x:c>
      <x:c r="E112" s="14" t="n">
        <x:v>77900</x:v>
      </x:c>
      <x:c r="F112" s="8" t="n">
        <x:v>7</x:v>
      </x:c>
      <x:c r="G112" s="14" t="n">
        <x:v>150</x:v>
      </x:c>
      <x:c r="H112" s="14" t="n">
        <x:f>F112*G112</x:f>
        <x:v>1050</x:v>
      </x:c>
      <x:c r="I112" s="8" t="n">
        <x:v>130</x:v>
      </x:c>
      <x:c r="J112" s="8" t="n">
        <x:v>3</x:v>
      </x:c>
      <x:c r="K112" s="17" t="n">
        <x:v>0.16799999999999998</x:v>
      </x:c>
      <x:c r="L112" s="8" t="str">
        <x:v>Technology</x:v>
      </x:c>
      <x:c r="M112" s="8" t="n">
        <x:v>3</x:v>
      </x:c>
      <x:c r="N112" s="9" t="str">
        <x:v>At Risk</x:v>
      </x:c>
    </x:row>
    <x:row r="113">
      <x:c r="A113" s="7" t="str">
        <x:v>CUST-1112</x:v>
      </x:c>
      <x:c r="B113" s="8" t="n">
        <x:v>50</x:v>
      </x:c>
      <x:c r="C113" s="8" t="str">
        <x:v>Male</x:v>
      </x:c>
      <x:c r="D113" s="8" t="str">
        <x:v>North</x:v>
      </x:c>
      <x:c r="E113" s="14" t="n">
        <x:v>95100</x:v>
      </x:c>
      <x:c r="F113" s="8" t="n">
        <x:v>9</x:v>
      </x:c>
      <x:c r="G113" s="14" t="n">
        <x:v>185</x:v>
      </x:c>
      <x:c r="H113" s="14" t="n">
        <x:f>F113*G113</x:f>
        <x:v>1665</x:v>
      </x:c>
      <x:c r="I113" s="8" t="n">
        <x:v>151</x:v>
      </x:c>
      <x:c r="J113" s="8" t="n">
        <x:v>7</x:v>
      </x:c>
      <x:c r="K113" s="17" t="n">
        <x:v>0.294</x:v>
      </x:c>
      <x:c r="L113" s="8" t="str">
        <x:v>Home &amp; Living</x:v>
      </x:c>
      <x:c r="M113" s="8" t="n">
        <x:v>3</x:v>
      </x:c>
      <x:c r="N113" s="9" t="str">
        <x:v>At Risk</x:v>
      </x:c>
    </x:row>
    <x:row r="114">
      <x:c r="A114" s="7" t="str">
        <x:v>CUST-1113</x:v>
      </x:c>
      <x:c r="B114" s="8" t="n">
        <x:v>44</x:v>
      </x:c>
      <x:c r="C114" s="8" t="str">
        <x:v>Non-binary</x:v>
      </x:c>
      <x:c r="D114" s="8" t="str">
        <x:v>West</x:v>
      </x:c>
      <x:c r="E114" s="14" t="n">
        <x:v>82400</x:v>
      </x:c>
      <x:c r="F114" s="8" t="n">
        <x:v>7</x:v>
      </x:c>
      <x:c r="G114" s="14" t="n">
        <x:v>155</x:v>
      </x:c>
      <x:c r="H114" s="14" t="n">
        <x:f>F114*G114</x:f>
        <x:v>1085</x:v>
      </x:c>
      <x:c r="I114" s="8" t="n">
        <x:v>133</x:v>
      </x:c>
      <x:c r="J114" s="8" t="n">
        <x:v>4</x:v>
      </x:c>
      <x:c r="K114" s="17" t="n">
        <x:v>0.186</x:v>
      </x:c>
      <x:c r="L114" s="8" t="str">
        <x:v>Technology</x:v>
      </x:c>
      <x:c r="M114" s="8" t="n">
        <x:v>3</x:v>
      </x:c>
      <x:c r="N114" s="9" t="str">
        <x:v>At Risk</x:v>
      </x:c>
    </x:row>
    <x:row r="115">
      <x:c r="A115" s="7" t="str">
        <x:v>CUST-1114</x:v>
      </x:c>
      <x:c r="B115" s="8" t="n">
        <x:v>51</x:v>
      </x:c>
      <x:c r="C115" s="8" t="str">
        <x:v>Female</x:v>
      </x:c>
      <x:c r="D115" s="8" t="str">
        <x:v>East</x:v>
      </x:c>
      <x:c r="E115" s="14" t="n">
        <x:v>95200</x:v>
      </x:c>
      <x:c r="F115" s="8" t="n">
        <x:v>9</x:v>
      </x:c>
      <x:c r="G115" s="14" t="n">
        <x:v>190</x:v>
      </x:c>
      <x:c r="H115" s="14" t="n">
        <x:f>F115*G115</x:f>
        <x:v>1710</x:v>
      </x:c>
      <x:c r="I115" s="8" t="n">
        <x:v>154</x:v>
      </x:c>
      <x:c r="J115" s="8" t="n">
        <x:v>7</x:v>
      </x:c>
      <x:c r="K115" s="17" t="n">
        <x:v>0.312</x:v>
      </x:c>
      <x:c r="L115" s="8" t="str">
        <x:v>Home &amp; Living</x:v>
      </x:c>
      <x:c r="M115" s="8" t="n">
        <x:v>3</x:v>
      </x:c>
      <x:c r="N115" s="9" t="str">
        <x:v>At Risk</x:v>
      </x:c>
    </x:row>
    <x:row r="116">
      <x:c r="A116" s="7" t="str">
        <x:v>CUST-1115</x:v>
      </x:c>
      <x:c r="B116" s="8" t="n">
        <x:v>45</x:v>
      </x:c>
      <x:c r="C116" s="8" t="str">
        <x:v>Male</x:v>
      </x:c>
      <x:c r="D116" s="8" t="str">
        <x:v>South</x:v>
      </x:c>
      <x:c r="E116" s="14" t="n">
        <x:v>82500</x:v>
      </x:c>
      <x:c r="F116" s="8" t="n">
        <x:v>7</x:v>
      </x:c>
      <x:c r="G116" s="14" t="n">
        <x:v>160</x:v>
      </x:c>
      <x:c r="H116" s="14" t="n">
        <x:f>F116*G116</x:f>
        <x:v>1120</x:v>
      </x:c>
      <x:c r="I116" s="8" t="n">
        <x:v>136</x:v>
      </x:c>
      <x:c r="J116" s="8" t="n">
        <x:v>4</x:v>
      </x:c>
      <x:c r="K116" s="17" t="n">
        <x:v>0.204</x:v>
      </x:c>
      <x:c r="L116" s="8" t="str">
        <x:v>Technology</x:v>
      </x:c>
      <x:c r="M116" s="8" t="n">
        <x:v>3</x:v>
      </x:c>
      <x:c r="N116" s="9" t="str">
        <x:v>At Risk</x:v>
      </x:c>
    </x:row>
    <x:row r="117">
      <x:c r="A117" s="7" t="str">
        <x:v>CUST-1116</x:v>
      </x:c>
      <x:c r="B117" s="8" t="n">
        <x:v>52</x:v>
      </x:c>
      <x:c r="C117" s="8" t="str">
        <x:v>Non-binary</x:v>
      </x:c>
      <x:c r="D117" s="8" t="str">
        <x:v>North</x:v>
      </x:c>
      <x:c r="E117" s="14" t="n">
        <x:v>99700</x:v>
      </x:c>
      <x:c r="F117" s="8" t="n">
        <x:v>10</x:v>
      </x:c>
      <x:c r="G117" s="14" t="n">
        <x:v>195</x:v>
      </x:c>
      <x:c r="H117" s="14" t="n">
        <x:f>F117*G117</x:f>
        <x:v>1950</x:v>
      </x:c>
      <x:c r="I117" s="8" t="n">
        <x:v>157</x:v>
      </x:c>
      <x:c r="J117" s="8" t="n">
        <x:v>8</x:v>
      </x:c>
      <x:c r="K117" s="17" t="n">
        <x:v>0.32999999999999996</x:v>
      </x:c>
      <x:c r="L117" s="8" t="str">
        <x:v>Home &amp; Living</x:v>
      </x:c>
      <x:c r="M117" s="8" t="n">
        <x:v>3</x:v>
      </x:c>
      <x:c r="N117" s="9" t="str">
        <x:v>At Risk</x:v>
      </x:c>
    </x:row>
    <x:row r="118">
      <x:c r="A118" s="7" t="str">
        <x:v>CUST-1117</x:v>
      </x:c>
      <x:c r="B118" s="8" t="n">
        <x:v>46</x:v>
      </x:c>
      <x:c r="C118" s="8" t="str">
        <x:v>Female</x:v>
      </x:c>
      <x:c r="D118" s="8" t="str">
        <x:v>West</x:v>
      </x:c>
      <x:c r="E118" s="14" t="n">
        <x:v>87000</x:v>
      </x:c>
      <x:c r="F118" s="8" t="n">
        <x:v>8</x:v>
      </x:c>
      <x:c r="G118" s="14" t="n">
        <x:v>165</x:v>
      </x:c>
      <x:c r="H118" s="14" t="n">
        <x:f>F118*G118</x:f>
        <x:v>1320</x:v>
      </x:c>
      <x:c r="I118" s="8" t="n">
        <x:v>139</x:v>
      </x:c>
      <x:c r="J118" s="8" t="n">
        <x:v>5</x:v>
      </x:c>
      <x:c r="K118" s="17" t="n">
        <x:v>0.222</x:v>
      </x:c>
      <x:c r="L118" s="8" t="str">
        <x:v>Technology</x:v>
      </x:c>
      <x:c r="M118" s="8" t="n">
        <x:v>3</x:v>
      </x:c>
      <x:c r="N118" s="9" t="str">
        <x:v>At Risk</x:v>
      </x:c>
    </x:row>
    <x:row r="119">
      <x:c r="A119" s="7" t="str">
        <x:v>CUST-1118</x:v>
      </x:c>
      <x:c r="B119" s="8" t="n">
        <x:v>53</x:v>
      </x:c>
      <x:c r="C119" s="8" t="str">
        <x:v>Male</x:v>
      </x:c>
      <x:c r="D119" s="8" t="str">
        <x:v>East</x:v>
      </x:c>
      <x:c r="E119" s="14" t="n">
        <x:v>99800</x:v>
      </x:c>
      <x:c r="F119" s="8" t="n">
        <x:v>10</x:v>
      </x:c>
      <x:c r="G119" s="14" t="n">
        <x:v>200</x:v>
      </x:c>
      <x:c r="H119" s="14" t="n">
        <x:f>F119*G119</x:f>
        <x:v>2000</x:v>
      </x:c>
      <x:c r="I119" s="8" t="n">
        <x:v>160</x:v>
      </x:c>
      <x:c r="J119" s="8" t="n">
        <x:v>8</x:v>
      </x:c>
      <x:c r="K119" s="17" t="n">
        <x:v>0.348</x:v>
      </x:c>
      <x:c r="L119" s="8" t="str">
        <x:v>Home &amp; Living</x:v>
      </x:c>
      <x:c r="M119" s="8" t="n">
        <x:v>3</x:v>
      </x:c>
      <x:c r="N119" s="9" t="str">
        <x:v>At Risk</x:v>
      </x:c>
    </x:row>
    <x:row r="120">
      <x:c r="A120" s="7" t="str">
        <x:v>CUST-1119</x:v>
      </x:c>
      <x:c r="B120" s="8" t="n">
        <x:v>47</x:v>
      </x:c>
      <x:c r="C120" s="8" t="str">
        <x:v>Non-binary</x:v>
      </x:c>
      <x:c r="D120" s="8" t="str">
        <x:v>South</x:v>
      </x:c>
      <x:c r="E120" s="14" t="n">
        <x:v>87100</x:v>
      </x:c>
      <x:c r="F120" s="8" t="n">
        <x:v>8</x:v>
      </x:c>
      <x:c r="G120" s="14" t="n">
        <x:v>170</x:v>
      </x:c>
      <x:c r="H120" s="14" t="n">
        <x:f>F120*G120</x:f>
        <x:v>1360</x:v>
      </x:c>
      <x:c r="I120" s="8" t="n">
        <x:v>142</x:v>
      </x:c>
      <x:c r="J120" s="8" t="n">
        <x:v>5</x:v>
      </x:c>
      <x:c r="K120" s="17" t="n">
        <x:v>0.24</x:v>
      </x:c>
      <x:c r="L120" s="8" t="str">
        <x:v>Technology</x:v>
      </x:c>
      <x:c r="M120" s="8" t="n">
        <x:v>3</x:v>
      </x:c>
      <x:c r="N120" s="9" t="str">
        <x:v>At Risk</x:v>
      </x:c>
    </x:row>
    <x:row r="121">
      <x:c r="A121" s="7" t="str">
        <x:v>CUST-1120</x:v>
      </x:c>
      <x:c r="B121" s="8" t="n">
        <x:v>41</x:v>
      </x:c>
      <x:c r="C121" s="8" t="str">
        <x:v>Female</x:v>
      </x:c>
      <x:c r="D121" s="8" t="str">
        <x:v>North</x:v>
      </x:c>
      <x:c r="E121" s="14" t="n">
        <x:v>74400</x:v>
      </x:c>
      <x:c r="F121" s="8" t="n">
        <x:v>6</x:v>
      </x:c>
      <x:c r="G121" s="14" t="n">
        <x:v>140</x:v>
      </x:c>
      <x:c r="H121" s="14" t="n">
        <x:f>F121*G121</x:f>
        <x:v>840</x:v>
      </x:c>
      <x:c r="I121" s="8" t="n">
        <x:v>124</x:v>
      </x:c>
      <x:c r="J121" s="8" t="n">
        <x:v>2</x:v>
      </x:c>
      <x:c r="K121" s="17" t="n">
        <x:v>0.132</x:v>
      </x:c>
      <x:c r="L121" s="8" t="str">
        <x:v>Home &amp; Living</x:v>
      </x:c>
      <x:c r="M121" s="8" t="n">
        <x:v>3</x:v>
      </x:c>
      <x:c r="N121" s="9" t="str">
        <x:v>At Risk</x:v>
      </x:c>
    </x:row>
    <x:row r="122">
      <x:c r="A122" s="7" t="str">
        <x:v>CUST-1121</x:v>
      </x:c>
      <x:c r="B122" s="8" t="n">
        <x:v>30</x:v>
      </x:c>
      <x:c r="C122" s="8" t="str">
        <x:v>Female</x:v>
      </x:c>
      <x:c r="D122" s="8" t="str">
        <x:v>West</x:v>
      </x:c>
      <x:c r="E122" s="14" t="n">
        <x:v>46300</x:v>
      </x:c>
      <x:c r="F122" s="8" t="n">
        <x:v>4</x:v>
      </x:c>
      <x:c r="G122" s="14" t="n">
        <x:v>79</x:v>
      </x:c>
      <x:c r="H122" s="14" t="n">
        <x:f>F122*G122</x:f>
        <x:v>316</x:v>
      </x:c>
      <x:c r="I122" s="8" t="n">
        <x:v>54</x:v>
      </x:c>
      <x:c r="J122" s="8" t="n">
        <x:v>10</x:v>
      </x:c>
      <x:c r="K122" s="17" t="n">
        <x:v>0.468</x:v>
      </x:c>
      <x:c r="L122" s="8" t="str">
        <x:v>Grocery</x:v>
      </x:c>
      <x:c r="M122" s="8" t="n">
        <x:v>4</x:v>
      </x:c>
      <x:c r="N122" s="9" t="str">
        <x:v>Value Seekers</x:v>
      </x:c>
    </x:row>
    <x:row r="123">
      <x:c r="A123" s="7" t="str">
        <x:v>CUST-1122</x:v>
      </x:c>
      <x:c r="B123" s="8" t="n">
        <x:v>24</x:v>
      </x:c>
      <x:c r="C123" s="8" t="str">
        <x:v>Male</x:v>
      </x:c>
      <x:c r="D123" s="8" t="str">
        <x:v>East</x:v>
      </x:c>
      <x:c r="E123" s="14" t="n">
        <x:v>33600</x:v>
      </x:c>
      <x:c r="F123" s="8" t="n">
        <x:v>2</x:v>
      </x:c>
      <x:c r="G123" s="14" t="n">
        <x:v>49</x:v>
      </x:c>
      <x:c r="H123" s="14" t="n">
        <x:f>F123*G123</x:f>
        <x:v>98</x:v>
      </x:c>
      <x:c r="I123" s="8" t="n">
        <x:v>36</x:v>
      </x:c>
      <x:c r="J123" s="8" t="n">
        <x:v>7</x:v>
      </x:c>
      <x:c r="K123" s="17" t="n">
        <x:v>0.36</x:v>
      </x:c>
      <x:c r="L123" s="8" t="str">
        <x:v>Fashion</x:v>
      </x:c>
      <x:c r="M123" s="8" t="n">
        <x:v>4</x:v>
      </x:c>
      <x:c r="N123" s="9" t="str">
        <x:v>Value Seekers</x:v>
      </x:c>
    </x:row>
    <x:row r="124">
      <x:c r="A124" s="7" t="str">
        <x:v>CUST-1123</x:v>
      </x:c>
      <x:c r="B124" s="8" t="n">
        <x:v>31</x:v>
      </x:c>
      <x:c r="C124" s="8" t="str">
        <x:v>Non-binary</x:v>
      </x:c>
      <x:c r="D124" s="8" t="str">
        <x:v>South</x:v>
      </x:c>
      <x:c r="E124" s="14" t="n">
        <x:v>50800</x:v>
      </x:c>
      <x:c r="F124" s="8" t="n">
        <x:v>5</x:v>
      </x:c>
      <x:c r="G124" s="14" t="n">
        <x:v>84</x:v>
      </x:c>
      <x:c r="H124" s="14" t="n">
        <x:f>F124*G124</x:f>
        <x:v>420</x:v>
      </x:c>
      <x:c r="I124" s="8" t="n">
        <x:v>57</x:v>
      </x:c>
      <x:c r="J124" s="8" t="n">
        <x:v>10</x:v>
      </x:c>
      <x:c r="K124" s="17" t="n">
        <x:v>0.486</x:v>
      </x:c>
      <x:c r="L124" s="8" t="str">
        <x:v>Grocery</x:v>
      </x:c>
      <x:c r="M124" s="8" t="n">
        <x:v>4</x:v>
      </x:c>
      <x:c r="N124" s="9" t="str">
        <x:v>Value Seekers</x:v>
      </x:c>
    </x:row>
    <x:row r="125">
      <x:c r="A125" s="7" t="str">
        <x:v>CUST-1124</x:v>
      </x:c>
      <x:c r="B125" s="8" t="n">
        <x:v>25</x:v>
      </x:c>
      <x:c r="C125" s="8" t="str">
        <x:v>Female</x:v>
      </x:c>
      <x:c r="D125" s="8" t="str">
        <x:v>North</x:v>
      </x:c>
      <x:c r="E125" s="14" t="n">
        <x:v>38100</x:v>
      </x:c>
      <x:c r="F125" s="8" t="n">
        <x:v>3</x:v>
      </x:c>
      <x:c r="G125" s="14" t="n">
        <x:v>54</x:v>
      </x:c>
      <x:c r="H125" s="14" t="n">
        <x:f>F125*G125</x:f>
        <x:v>162</x:v>
      </x:c>
      <x:c r="I125" s="8" t="n">
        <x:v>39</x:v>
      </x:c>
      <x:c r="J125" s="8" t="n">
        <x:v>7</x:v>
      </x:c>
      <x:c r="K125" s="17" t="n">
        <x:v>0.378</x:v>
      </x:c>
      <x:c r="L125" s="8" t="str">
        <x:v>Fashion</x:v>
      </x:c>
      <x:c r="M125" s="8" t="n">
        <x:v>4</x:v>
      </x:c>
      <x:c r="N125" s="9" t="str">
        <x:v>Value Seekers</x:v>
      </x:c>
    </x:row>
    <x:row r="126">
      <x:c r="A126" s="7" t="str">
        <x:v>CUST-1125</x:v>
      </x:c>
      <x:c r="B126" s="8" t="n">
        <x:v>32</x:v>
      </x:c>
      <x:c r="C126" s="8" t="str">
        <x:v>Male</x:v>
      </x:c>
      <x:c r="D126" s="8" t="str">
        <x:v>West</x:v>
      </x:c>
      <x:c r="E126" s="14" t="n">
        <x:v>50900</x:v>
      </x:c>
      <x:c r="F126" s="8" t="n">
        <x:v>5</x:v>
      </x:c>
      <x:c r="G126" s="14" t="n">
        <x:v>89</x:v>
      </x:c>
      <x:c r="H126" s="14" t="n">
        <x:f>F126*G126</x:f>
        <x:v>445</x:v>
      </x:c>
      <x:c r="I126" s="8" t="n">
        <x:v>60</x:v>
      </x:c>
      <x:c r="J126" s="8" t="n">
        <x:v>11</x:v>
      </x:c>
      <x:c r="K126" s="17" t="n">
        <x:v>0.504</x:v>
      </x:c>
      <x:c r="L126" s="8" t="str">
        <x:v>Grocery</x:v>
      </x:c>
      <x:c r="M126" s="8" t="n">
        <x:v>4</x:v>
      </x:c>
      <x:c r="N126" s="9" t="str">
        <x:v>Value Seekers</x:v>
      </x:c>
    </x:row>
    <x:row r="127">
      <x:c r="A127" s="7" t="str">
        <x:v>CUST-1126</x:v>
      </x:c>
      <x:c r="B127" s="8" t="n">
        <x:v>26</x:v>
      </x:c>
      <x:c r="C127" s="8" t="str">
        <x:v>Non-binary</x:v>
      </x:c>
      <x:c r="D127" s="8" t="str">
        <x:v>East</x:v>
      </x:c>
      <x:c r="E127" s="14" t="n">
        <x:v>38200</x:v>
      </x:c>
      <x:c r="F127" s="8" t="n">
        <x:v>3</x:v>
      </x:c>
      <x:c r="G127" s="14" t="n">
        <x:v>59</x:v>
      </x:c>
      <x:c r="H127" s="14" t="n">
        <x:f>F127*G127</x:f>
        <x:v>177</x:v>
      </x:c>
      <x:c r="I127" s="8" t="n">
        <x:v>42</x:v>
      </x:c>
      <x:c r="J127" s="8" t="n">
        <x:v>8</x:v>
      </x:c>
      <x:c r="K127" s="17" t="n">
        <x:v>0.396</x:v>
      </x:c>
      <x:c r="L127" s="8" t="str">
        <x:v>Fashion</x:v>
      </x:c>
      <x:c r="M127" s="8" t="n">
        <x:v>4</x:v>
      </x:c>
      <x:c r="N127" s="9" t="str">
        <x:v>Value Seekers</x:v>
      </x:c>
    </x:row>
    <x:row r="128">
      <x:c r="A128" s="7" t="str">
        <x:v>CUST-1127</x:v>
      </x:c>
      <x:c r="B128" s="8" t="n">
        <x:v>33</x:v>
      </x:c>
      <x:c r="C128" s="8" t="str">
        <x:v>Female</x:v>
      </x:c>
      <x:c r="D128" s="8" t="str">
        <x:v>South</x:v>
      </x:c>
      <x:c r="E128" s="14" t="n">
        <x:v>55400</x:v>
      </x:c>
      <x:c r="F128" s="8" t="n">
        <x:v>5</x:v>
      </x:c>
      <x:c r="G128" s="14" t="n">
        <x:v>94</x:v>
      </x:c>
      <x:c r="H128" s="14" t="n">
        <x:f>F128*G128</x:f>
        <x:v>470</x:v>
      </x:c>
      <x:c r="I128" s="8" t="n">
        <x:v>63</x:v>
      </x:c>
      <x:c r="J128" s="8" t="n">
        <x:v>11</x:v>
      </x:c>
      <x:c r="K128" s="17" t="n">
        <x:v>0.522</x:v>
      </x:c>
      <x:c r="L128" s="8" t="str">
        <x:v>Grocery</x:v>
      </x:c>
      <x:c r="M128" s="8" t="n">
        <x:v>4</x:v>
      </x:c>
      <x:c r="N128" s="9" t="str">
        <x:v>Value Seekers</x:v>
      </x:c>
    </x:row>
    <x:row r="129">
      <x:c r="A129" s="7" t="str">
        <x:v>CUST-1128</x:v>
      </x:c>
      <x:c r="B129" s="8" t="n">
        <x:v>27</x:v>
      </x:c>
      <x:c r="C129" s="8" t="str">
        <x:v>Male</x:v>
      </x:c>
      <x:c r="D129" s="8" t="str">
        <x:v>North</x:v>
      </x:c>
      <x:c r="E129" s="14" t="n">
        <x:v>42700</x:v>
      </x:c>
      <x:c r="F129" s="8" t="n">
        <x:v>3</x:v>
      </x:c>
      <x:c r="G129" s="14" t="n">
        <x:v>64</x:v>
      </x:c>
      <x:c r="H129" s="14" t="n">
        <x:f>F129*G129</x:f>
        <x:v>192</x:v>
      </x:c>
      <x:c r="I129" s="8" t="n">
        <x:v>45</x:v>
      </x:c>
      <x:c r="J129" s="8" t="n">
        <x:v>8</x:v>
      </x:c>
      <x:c r="K129" s="17" t="n">
        <x:v>0.41400000000000003</x:v>
      </x:c>
      <x:c r="L129" s="8" t="str">
        <x:v>Fashion</x:v>
      </x:c>
      <x:c r="M129" s="8" t="n">
        <x:v>4</x:v>
      </x:c>
      <x:c r="N129" s="9" t="str">
        <x:v>Value Seekers</x:v>
      </x:c>
    </x:row>
    <x:row r="130">
      <x:c r="A130" s="7" t="str">
        <x:v>CUST-1129</x:v>
      </x:c>
      <x:c r="B130" s="8" t="n">
        <x:v>34</x:v>
      </x:c>
      <x:c r="C130" s="8" t="str">
        <x:v>Non-binary</x:v>
      </x:c>
      <x:c r="D130" s="8" t="str">
        <x:v>West</x:v>
      </x:c>
      <x:c r="E130" s="14" t="n">
        <x:v>55500</x:v>
      </x:c>
      <x:c r="F130" s="8" t="n">
        <x:v>6</x:v>
      </x:c>
      <x:c r="G130" s="14" t="n">
        <x:v>99</x:v>
      </x:c>
      <x:c r="H130" s="14" t="n">
        <x:f>F130*G130</x:f>
        <x:v>594</x:v>
      </x:c>
      <x:c r="I130" s="8" t="n">
        <x:v>66</x:v>
      </x:c>
      <x:c r="J130" s="8" t="n">
        <x:v>12</x:v>
      </x:c>
      <x:c r="K130" s="17" t="n">
        <x:v>0.54</x:v>
      </x:c>
      <x:c r="L130" s="8" t="str">
        <x:v>Grocery</x:v>
      </x:c>
      <x:c r="M130" s="8" t="n">
        <x:v>4</x:v>
      </x:c>
      <x:c r="N130" s="9" t="str">
        <x:v>Value Seekers</x:v>
      </x:c>
    </x:row>
    <x:row r="131">
      <x:c r="A131" s="7" t="str">
        <x:v>CUST-1130</x:v>
      </x:c>
      <x:c r="B131" s="8" t="n">
        <x:v>28</x:v>
      </x:c>
      <x:c r="C131" s="8" t="str">
        <x:v>Female</x:v>
      </x:c>
      <x:c r="D131" s="8" t="str">
        <x:v>East</x:v>
      </x:c>
      <x:c r="E131" s="14" t="n">
        <x:v>42800</x:v>
      </x:c>
      <x:c r="F131" s="8" t="n">
        <x:v>4</x:v>
      </x:c>
      <x:c r="G131" s="14" t="n">
        <x:v>69</x:v>
      </x:c>
      <x:c r="H131" s="14" t="n">
        <x:f>F131*G131</x:f>
        <x:v>276</x:v>
      </x:c>
      <x:c r="I131" s="8" t="n">
        <x:v>48</x:v>
      </x:c>
      <x:c r="J131" s="8" t="n">
        <x:v>9</x:v>
      </x:c>
      <x:c r="K131" s="17" t="n">
        <x:v>0.432</x:v>
      </x:c>
      <x:c r="L131" s="8" t="str">
        <x:v>Fashion</x:v>
      </x:c>
      <x:c r="M131" s="8" t="n">
        <x:v>4</x:v>
      </x:c>
      <x:c r="N131" s="9" t="str">
        <x:v>Value Seekers</x:v>
      </x:c>
    </x:row>
    <x:row r="132">
      <x:c r="A132" s="7" t="str">
        <x:v>CUST-1131</x:v>
      </x:c>
      <x:c r="B132" s="8" t="n">
        <x:v>35</x:v>
      </x:c>
      <x:c r="C132" s="8" t="str">
        <x:v>Male</x:v>
      </x:c>
      <x:c r="D132" s="8" t="str">
        <x:v>South</x:v>
      </x:c>
      <x:c r="E132" s="14" t="n">
        <x:v>60000</x:v>
      </x:c>
      <x:c r="F132" s="8" t="n">
        <x:v>6</x:v>
      </x:c>
      <x:c r="G132" s="14" t="n">
        <x:v>104</x:v>
      </x:c>
      <x:c r="H132" s="14" t="n">
        <x:f>F132*G132</x:f>
        <x:v>624</x:v>
      </x:c>
      <x:c r="I132" s="8" t="n">
        <x:v>69</x:v>
      </x:c>
      <x:c r="J132" s="8" t="n">
        <x:v>12</x:v>
      </x:c>
      <x:c r="K132" s="17" t="n">
        <x:v>0.558</x:v>
      </x:c>
      <x:c r="L132" s="8" t="str">
        <x:v>Grocery</x:v>
      </x:c>
      <x:c r="M132" s="8" t="n">
        <x:v>4</x:v>
      </x:c>
      <x:c r="N132" s="9" t="str">
        <x:v>Value Seekers</x:v>
      </x:c>
    </x:row>
    <x:row r="133">
      <x:c r="A133" s="7" t="str">
        <x:v>CUST-1132</x:v>
      </x:c>
      <x:c r="B133" s="8" t="n">
        <x:v>29</x:v>
      </x:c>
      <x:c r="C133" s="8" t="str">
        <x:v>Non-binary</x:v>
      </x:c>
      <x:c r="D133" s="8" t="str">
        <x:v>North</x:v>
      </x:c>
      <x:c r="E133" s="14" t="n">
        <x:v>47300</x:v>
      </x:c>
      <x:c r="F133" s="8" t="n">
        <x:v>4</x:v>
      </x:c>
      <x:c r="G133" s="14" t="n">
        <x:v>74</x:v>
      </x:c>
      <x:c r="H133" s="14" t="n">
        <x:f>F133*G133</x:f>
        <x:v>296</x:v>
      </x:c>
      <x:c r="I133" s="8" t="n">
        <x:v>51</x:v>
      </x:c>
      <x:c r="J133" s="8" t="n">
        <x:v>9</x:v>
      </x:c>
      <x:c r="K133" s="17" t="n">
        <x:v>0.45</x:v>
      </x:c>
      <x:c r="L133" s="8" t="str">
        <x:v>Fashion</x:v>
      </x:c>
      <x:c r="M133" s="8" t="n">
        <x:v>4</x:v>
      </x:c>
      <x:c r="N133" s="9" t="str">
        <x:v>Value Seekers</x:v>
      </x:c>
    </x:row>
    <x:row r="134">
      <x:c r="A134" s="7" t="str">
        <x:v>CUST-1133</x:v>
      </x:c>
      <x:c r="B134" s="8" t="n">
        <x:v>23</x:v>
      </x:c>
      <x:c r="C134" s="8" t="str">
        <x:v>Female</x:v>
      </x:c>
      <x:c r="D134" s="8" t="str">
        <x:v>West</x:v>
      </x:c>
      <x:c r="E134" s="14" t="n">
        <x:v>30200</x:v>
      </x:c>
      <x:c r="F134" s="8" t="n">
        <x:v>2</x:v>
      </x:c>
      <x:c r="G134" s="14" t="n">
        <x:v>44</x:v>
      </x:c>
      <x:c r="H134" s="14" t="n">
        <x:f>F134*G134</x:f>
        <x:v>88</x:v>
      </x:c>
      <x:c r="I134" s="8" t="n">
        <x:v>33</x:v>
      </x:c>
      <x:c r="J134" s="8" t="n">
        <x:v>6</x:v>
      </x:c>
      <x:c r="K134" s="17" t="n">
        <x:v>0.342</x:v>
      </x:c>
      <x:c r="L134" s="8" t="str">
        <x:v>Grocery</x:v>
      </x:c>
      <x:c r="M134" s="8" t="n">
        <x:v>4</x:v>
      </x:c>
      <x:c r="N134" s="9" t="str">
        <x:v>Value Seekers</x:v>
      </x:c>
    </x:row>
    <x:row r="135">
      <x:c r="A135" s="7" t="str">
        <x:v>CUST-1134</x:v>
      </x:c>
      <x:c r="B135" s="8" t="n">
        <x:v>30</x:v>
      </x:c>
      <x:c r="C135" s="8" t="str">
        <x:v>Male</x:v>
      </x:c>
      <x:c r="D135" s="8" t="str">
        <x:v>East</x:v>
      </x:c>
      <x:c r="E135" s="14" t="n">
        <x:v>47400</x:v>
      </x:c>
      <x:c r="F135" s="8" t="n">
        <x:v>4</x:v>
      </x:c>
      <x:c r="G135" s="14" t="n">
        <x:v>79</x:v>
      </x:c>
      <x:c r="H135" s="14" t="n">
        <x:f>F135*G135</x:f>
        <x:v>316</x:v>
      </x:c>
      <x:c r="I135" s="8" t="n">
        <x:v>54</x:v>
      </x:c>
      <x:c r="J135" s="8" t="n">
        <x:v>10</x:v>
      </x:c>
      <x:c r="K135" s="17" t="n">
        <x:v>0.468</x:v>
      </x:c>
      <x:c r="L135" s="8" t="str">
        <x:v>Fashion</x:v>
      </x:c>
      <x:c r="M135" s="8" t="n">
        <x:v>4</x:v>
      </x:c>
      <x:c r="N135" s="9" t="str">
        <x:v>Value Seekers</x:v>
      </x:c>
    </x:row>
    <x:row r="136">
      <x:c r="A136" s="7" t="str">
        <x:v>CUST-1135</x:v>
      </x:c>
      <x:c r="B136" s="8" t="n">
        <x:v>24</x:v>
      </x:c>
      <x:c r="C136" s="8" t="str">
        <x:v>Non-binary</x:v>
      </x:c>
      <x:c r="D136" s="8" t="str">
        <x:v>South</x:v>
      </x:c>
      <x:c r="E136" s="14" t="n">
        <x:v>34700</x:v>
      </x:c>
      <x:c r="F136" s="8" t="n">
        <x:v>2</x:v>
      </x:c>
      <x:c r="G136" s="14" t="n">
        <x:v>49</x:v>
      </x:c>
      <x:c r="H136" s="14" t="n">
        <x:f>F136*G136</x:f>
        <x:v>98</x:v>
      </x:c>
      <x:c r="I136" s="8" t="n">
        <x:v>36</x:v>
      </x:c>
      <x:c r="J136" s="8" t="n">
        <x:v>7</x:v>
      </x:c>
      <x:c r="K136" s="17" t="n">
        <x:v>0.36</x:v>
      </x:c>
      <x:c r="L136" s="8" t="str">
        <x:v>Grocery</x:v>
      </x:c>
      <x:c r="M136" s="8" t="n">
        <x:v>4</x:v>
      </x:c>
      <x:c r="N136" s="9" t="str">
        <x:v>Value Seekers</x:v>
      </x:c>
    </x:row>
    <x:row r="137">
      <x:c r="A137" s="7" t="str">
        <x:v>CUST-1136</x:v>
      </x:c>
      <x:c r="B137" s="8" t="n">
        <x:v>31</x:v>
      </x:c>
      <x:c r="C137" s="8" t="str">
        <x:v>Female</x:v>
      </x:c>
      <x:c r="D137" s="8" t="str">
        <x:v>North</x:v>
      </x:c>
      <x:c r="E137" s="14" t="n">
        <x:v>51900</x:v>
      </x:c>
      <x:c r="F137" s="8" t="n">
        <x:v>5</x:v>
      </x:c>
      <x:c r="G137" s="14" t="n">
        <x:v>84</x:v>
      </x:c>
      <x:c r="H137" s="14" t="n">
        <x:f>F137*G137</x:f>
        <x:v>420</x:v>
      </x:c>
      <x:c r="I137" s="8" t="n">
        <x:v>57</x:v>
      </x:c>
      <x:c r="J137" s="8" t="n">
        <x:v>10</x:v>
      </x:c>
      <x:c r="K137" s="17" t="n">
        <x:v>0.486</x:v>
      </x:c>
      <x:c r="L137" s="8" t="str">
        <x:v>Fashion</x:v>
      </x:c>
      <x:c r="M137" s="8" t="n">
        <x:v>4</x:v>
      </x:c>
      <x:c r="N137" s="9" t="str">
        <x:v>Value Seekers</x:v>
      </x:c>
    </x:row>
    <x:row r="138">
      <x:c r="A138" s="7" t="str">
        <x:v>CUST-1137</x:v>
      </x:c>
      <x:c r="B138" s="8" t="n">
        <x:v>25</x:v>
      </x:c>
      <x:c r="C138" s="8" t="str">
        <x:v>Male</x:v>
      </x:c>
      <x:c r="D138" s="8" t="str">
        <x:v>West</x:v>
      </x:c>
      <x:c r="E138" s="14" t="n">
        <x:v>34800</x:v>
      </x:c>
      <x:c r="F138" s="8" t="n">
        <x:v>3</x:v>
      </x:c>
      <x:c r="G138" s="14" t="n">
        <x:v>54</x:v>
      </x:c>
      <x:c r="H138" s="14" t="n">
        <x:f>F138*G138</x:f>
        <x:v>162</x:v>
      </x:c>
      <x:c r="I138" s="8" t="n">
        <x:v>39</x:v>
      </x:c>
      <x:c r="J138" s="8" t="n">
        <x:v>7</x:v>
      </x:c>
      <x:c r="K138" s="17" t="n">
        <x:v>0.378</x:v>
      </x:c>
      <x:c r="L138" s="8" t="str">
        <x:v>Grocery</x:v>
      </x:c>
      <x:c r="M138" s="8" t="n">
        <x:v>4</x:v>
      </x:c>
      <x:c r="N138" s="9" t="str">
        <x:v>Value Seekers</x:v>
      </x:c>
    </x:row>
    <x:row r="139">
      <x:c r="A139" s="7" t="str">
        <x:v>CUST-1138</x:v>
      </x:c>
      <x:c r="B139" s="8" t="n">
        <x:v>32</x:v>
      </x:c>
      <x:c r="C139" s="8" t="str">
        <x:v>Non-binary</x:v>
      </x:c>
      <x:c r="D139" s="8" t="str">
        <x:v>East</x:v>
      </x:c>
      <x:c r="E139" s="14" t="n">
        <x:v>52000</x:v>
      </x:c>
      <x:c r="F139" s="8" t="n">
        <x:v>5</x:v>
      </x:c>
      <x:c r="G139" s="14" t="n">
        <x:v>89</x:v>
      </x:c>
      <x:c r="H139" s="14" t="n">
        <x:f>F139*G139</x:f>
        <x:v>445</x:v>
      </x:c>
      <x:c r="I139" s="8" t="n">
        <x:v>60</x:v>
      </x:c>
      <x:c r="J139" s="8" t="n">
        <x:v>11</x:v>
      </x:c>
      <x:c r="K139" s="17" t="n">
        <x:v>0.504</x:v>
      </x:c>
      <x:c r="L139" s="8" t="str">
        <x:v>Fashion</x:v>
      </x:c>
      <x:c r="M139" s="8" t="n">
        <x:v>4</x:v>
      </x:c>
      <x:c r="N139" s="9" t="str">
        <x:v>Value Seekers</x:v>
      </x:c>
    </x:row>
    <x:row r="140">
      <x:c r="A140" s="7" t="str">
        <x:v>CUST-1139</x:v>
      </x:c>
      <x:c r="B140" s="8" t="n">
        <x:v>26</x:v>
      </x:c>
      <x:c r="C140" s="8" t="str">
        <x:v>Female</x:v>
      </x:c>
      <x:c r="D140" s="8" t="str">
        <x:v>South</x:v>
      </x:c>
      <x:c r="E140" s="14" t="n">
        <x:v>39300</x:v>
      </x:c>
      <x:c r="F140" s="8" t="n">
        <x:v>3</x:v>
      </x:c>
      <x:c r="G140" s="14" t="n">
        <x:v>59</x:v>
      </x:c>
      <x:c r="H140" s="14" t="n">
        <x:f>F140*G140</x:f>
        <x:v>177</x:v>
      </x:c>
      <x:c r="I140" s="8" t="n">
        <x:v>42</x:v>
      </x:c>
      <x:c r="J140" s="8" t="n">
        <x:v>8</x:v>
      </x:c>
      <x:c r="K140" s="17" t="n">
        <x:v>0.396</x:v>
      </x:c>
      <x:c r="L140" s="8" t="str">
        <x:v>Grocery</x:v>
      </x:c>
      <x:c r="M140" s="8" t="n">
        <x:v>4</x:v>
      </x:c>
      <x:c r="N140" s="9" t="str">
        <x:v>Value Seekers</x:v>
      </x:c>
    </x:row>
    <x:row r="141">
      <x:c r="A141" s="7" t="str">
        <x:v>CUST-1140</x:v>
      </x:c>
      <x:c r="B141" s="8" t="n">
        <x:v>33</x:v>
      </x:c>
      <x:c r="C141" s="8" t="str">
        <x:v>Male</x:v>
      </x:c>
      <x:c r="D141" s="8" t="str">
        <x:v>North</x:v>
      </x:c>
      <x:c r="E141" s="14" t="n">
        <x:v>56500</x:v>
      </x:c>
      <x:c r="F141" s="8" t="n">
        <x:v>5</x:v>
      </x:c>
      <x:c r="G141" s="14" t="n">
        <x:v>94</x:v>
      </x:c>
      <x:c r="H141" s="14" t="n">
        <x:f>F141*G141</x:f>
        <x:v>470</x:v>
      </x:c>
      <x:c r="I141" s="8" t="n">
        <x:v>63</x:v>
      </x:c>
      <x:c r="J141" s="8" t="n">
        <x:v>11</x:v>
      </x:c>
      <x:c r="K141" s="17" t="n">
        <x:v>0.522</x:v>
      </x:c>
      <x:c r="L141" s="8" t="str">
        <x:v>Fashion</x:v>
      </x:c>
      <x:c r="M141" s="8" t="n">
        <x:v>4</x:v>
      </x:c>
      <x:c r="N141" s="9" t="str">
        <x:v>Value Seekers</x:v>
      </x:c>
    </x:row>
    <x:row r="142">
      <x:c r="A142" s="7" t="str">
        <x:v>CUST-1141</x:v>
      </x:c>
      <x:c r="B142" s="8" t="n">
        <x:v>27</x:v>
      </x:c>
      <x:c r="C142" s="8" t="str">
        <x:v>Non-binary</x:v>
      </x:c>
      <x:c r="D142" s="8" t="str">
        <x:v>West</x:v>
      </x:c>
      <x:c r="E142" s="14" t="n">
        <x:v>39400</x:v>
      </x:c>
      <x:c r="F142" s="8" t="n">
        <x:v>3</x:v>
      </x:c>
      <x:c r="G142" s="14" t="n">
        <x:v>64</x:v>
      </x:c>
      <x:c r="H142" s="14" t="n">
        <x:f>F142*G142</x:f>
        <x:v>192</x:v>
      </x:c>
      <x:c r="I142" s="8" t="n">
        <x:v>45</x:v>
      </x:c>
      <x:c r="J142" s="8" t="n">
        <x:v>8</x:v>
      </x:c>
      <x:c r="K142" s="17" t="n">
        <x:v>0.41400000000000003</x:v>
      </x:c>
      <x:c r="L142" s="8" t="str">
        <x:v>Grocery</x:v>
      </x:c>
      <x:c r="M142" s="8" t="n">
        <x:v>4</x:v>
      </x:c>
      <x:c r="N142" s="9" t="str">
        <x:v>Value Seekers</x:v>
      </x:c>
    </x:row>
    <x:row r="143">
      <x:c r="A143" s="7" t="str">
        <x:v>CUST-1142</x:v>
      </x:c>
      <x:c r="B143" s="8" t="n">
        <x:v>34</x:v>
      </x:c>
      <x:c r="C143" s="8" t="str">
        <x:v>Female</x:v>
      </x:c>
      <x:c r="D143" s="8" t="str">
        <x:v>East</x:v>
      </x:c>
      <x:c r="E143" s="14" t="n">
        <x:v>56600</x:v>
      </x:c>
      <x:c r="F143" s="8" t="n">
        <x:v>6</x:v>
      </x:c>
      <x:c r="G143" s="14" t="n">
        <x:v>99</x:v>
      </x:c>
      <x:c r="H143" s="14" t="n">
        <x:f>F143*G143</x:f>
        <x:v>594</x:v>
      </x:c>
      <x:c r="I143" s="8" t="n">
        <x:v>66</x:v>
      </x:c>
      <x:c r="J143" s="8" t="n">
        <x:v>12</x:v>
      </x:c>
      <x:c r="K143" s="17" t="n">
        <x:v>0.54</x:v>
      </x:c>
      <x:c r="L143" s="8" t="str">
        <x:v>Fashion</x:v>
      </x:c>
      <x:c r="M143" s="8" t="n">
        <x:v>4</x:v>
      </x:c>
      <x:c r="N143" s="9" t="str">
        <x:v>Value Seekers</x:v>
      </x:c>
    </x:row>
    <x:row r="144">
      <x:c r="A144" s="7" t="str">
        <x:v>CUST-1143</x:v>
      </x:c>
      <x:c r="B144" s="8" t="n">
        <x:v>28</x:v>
      </x:c>
      <x:c r="C144" s="8" t="str">
        <x:v>Male</x:v>
      </x:c>
      <x:c r="D144" s="8" t="str">
        <x:v>South</x:v>
      </x:c>
      <x:c r="E144" s="14" t="n">
        <x:v>43900</x:v>
      </x:c>
      <x:c r="F144" s="8" t="n">
        <x:v>4</x:v>
      </x:c>
      <x:c r="G144" s="14" t="n">
        <x:v>69</x:v>
      </x:c>
      <x:c r="H144" s="14" t="n">
        <x:f>F144*G144</x:f>
        <x:v>276</x:v>
      </x:c>
      <x:c r="I144" s="8" t="n">
        <x:v>48</x:v>
      </x:c>
      <x:c r="J144" s="8" t="n">
        <x:v>9</x:v>
      </x:c>
      <x:c r="K144" s="17" t="n">
        <x:v>0.432</x:v>
      </x:c>
      <x:c r="L144" s="8" t="str">
        <x:v>Grocery</x:v>
      </x:c>
      <x:c r="M144" s="8" t="n">
        <x:v>4</x:v>
      </x:c>
      <x:c r="N144" s="9" t="str">
        <x:v>Value Seekers</x:v>
      </x:c>
    </x:row>
    <x:row r="145">
      <x:c r="A145" s="7" t="str">
        <x:v>CUST-1144</x:v>
      </x:c>
      <x:c r="B145" s="8" t="n">
        <x:v>35</x:v>
      </x:c>
      <x:c r="C145" s="8" t="str">
        <x:v>Non-binary</x:v>
      </x:c>
      <x:c r="D145" s="8" t="str">
        <x:v>North</x:v>
      </x:c>
      <x:c r="E145" s="14" t="n">
        <x:v>61100</x:v>
      </x:c>
      <x:c r="F145" s="8" t="n">
        <x:v>6</x:v>
      </x:c>
      <x:c r="G145" s="14" t="n">
        <x:v>104</x:v>
      </x:c>
      <x:c r="H145" s="14" t="n">
        <x:f>F145*G145</x:f>
        <x:v>624</x:v>
      </x:c>
      <x:c r="I145" s="8" t="n">
        <x:v>69</x:v>
      </x:c>
      <x:c r="J145" s="8" t="n">
        <x:v>12</x:v>
      </x:c>
      <x:c r="K145" s="17" t="n">
        <x:v>0.558</x:v>
      </x:c>
      <x:c r="L145" s="8" t="str">
        <x:v>Fashion</x:v>
      </x:c>
      <x:c r="M145" s="8" t="n">
        <x:v>4</x:v>
      </x:c>
      <x:c r="N145" s="9" t="str">
        <x:v>Value Seekers</x:v>
      </x:c>
    </x:row>
    <x:row r="146">
      <x:c r="A146" s="7" t="str">
        <x:v>CUST-1145</x:v>
      </x:c>
      <x:c r="B146" s="8" t="n">
        <x:v>29</x:v>
      </x:c>
      <x:c r="C146" s="8" t="str">
        <x:v>Female</x:v>
      </x:c>
      <x:c r="D146" s="8" t="str">
        <x:v>West</x:v>
      </x:c>
      <x:c r="E146" s="14" t="n">
        <x:v>44000</x:v>
      </x:c>
      <x:c r="F146" s="8" t="n">
        <x:v>4</x:v>
      </x:c>
      <x:c r="G146" s="14" t="n">
        <x:v>74</x:v>
      </x:c>
      <x:c r="H146" s="14" t="n">
        <x:f>F146*G146</x:f>
        <x:v>296</x:v>
      </x:c>
      <x:c r="I146" s="8" t="n">
        <x:v>51</x:v>
      </x:c>
      <x:c r="J146" s="8" t="n">
        <x:v>9</x:v>
      </x:c>
      <x:c r="K146" s="17" t="n">
        <x:v>0.45</x:v>
      </x:c>
      <x:c r="L146" s="8" t="str">
        <x:v>Grocery</x:v>
      </x:c>
      <x:c r="M146" s="8" t="n">
        <x:v>4</x:v>
      </x:c>
      <x:c r="N146" s="9" t="str">
        <x:v>Value Seekers</x:v>
      </x:c>
    </x:row>
    <x:row r="147">
      <x:c r="A147" s="7" t="str">
        <x:v>CUST-1146</x:v>
      </x:c>
      <x:c r="B147" s="8" t="n">
        <x:v>23</x:v>
      </x:c>
      <x:c r="C147" s="8" t="str">
        <x:v>Male</x:v>
      </x:c>
      <x:c r="D147" s="8" t="str">
        <x:v>East</x:v>
      </x:c>
      <x:c r="E147" s="14" t="n">
        <x:v>31300</x:v>
      </x:c>
      <x:c r="F147" s="8" t="n">
        <x:v>2</x:v>
      </x:c>
      <x:c r="G147" s="14" t="n">
        <x:v>44</x:v>
      </x:c>
      <x:c r="H147" s="14" t="n">
        <x:f>F147*G147</x:f>
        <x:v>88</x:v>
      </x:c>
      <x:c r="I147" s="8" t="n">
        <x:v>33</x:v>
      </x:c>
      <x:c r="J147" s="8" t="n">
        <x:v>6</x:v>
      </x:c>
      <x:c r="K147" s="17" t="n">
        <x:v>0.342</x:v>
      </x:c>
      <x:c r="L147" s="8" t="str">
        <x:v>Fashion</x:v>
      </x:c>
      <x:c r="M147" s="8" t="n">
        <x:v>4</x:v>
      </x:c>
      <x:c r="N147" s="9" t="str">
        <x:v>Value Seekers</x:v>
      </x:c>
    </x:row>
    <x:row r="148">
      <x:c r="A148" s="7" t="str">
        <x:v>CUST-1147</x:v>
      </x:c>
      <x:c r="B148" s="8" t="n">
        <x:v>30</x:v>
      </x:c>
      <x:c r="C148" s="8" t="str">
        <x:v>Non-binary</x:v>
      </x:c>
      <x:c r="D148" s="8" t="str">
        <x:v>South</x:v>
      </x:c>
      <x:c r="E148" s="14" t="n">
        <x:v>48500</x:v>
      </x:c>
      <x:c r="F148" s="8" t="n">
        <x:v>4</x:v>
      </x:c>
      <x:c r="G148" s="14" t="n">
        <x:v>79</x:v>
      </x:c>
      <x:c r="H148" s="14" t="n">
        <x:f>F148*G148</x:f>
        <x:v>316</x:v>
      </x:c>
      <x:c r="I148" s="8" t="n">
        <x:v>54</x:v>
      </x:c>
      <x:c r="J148" s="8" t="n">
        <x:v>10</x:v>
      </x:c>
      <x:c r="K148" s="17" t="n">
        <x:v>0.468</x:v>
      </x:c>
      <x:c r="L148" s="8" t="str">
        <x:v>Grocery</x:v>
      </x:c>
      <x:c r="M148" s="8" t="n">
        <x:v>4</x:v>
      </x:c>
      <x:c r="N148" s="9" t="str">
        <x:v>Value Seekers</x:v>
      </x:c>
    </x:row>
    <x:row r="149">
      <x:c r="A149" s="7" t="str">
        <x:v>CUST-1148</x:v>
      </x:c>
      <x:c r="B149" s="8" t="n">
        <x:v>24</x:v>
      </x:c>
      <x:c r="C149" s="8" t="str">
        <x:v>Female</x:v>
      </x:c>
      <x:c r="D149" s="8" t="str">
        <x:v>North</x:v>
      </x:c>
      <x:c r="E149" s="14" t="n">
        <x:v>35800</x:v>
      </x:c>
      <x:c r="F149" s="8" t="n">
        <x:v>2</x:v>
      </x:c>
      <x:c r="G149" s="14" t="n">
        <x:v>49</x:v>
      </x:c>
      <x:c r="H149" s="14" t="n">
        <x:f>F149*G149</x:f>
        <x:v>98</x:v>
      </x:c>
      <x:c r="I149" s="8" t="n">
        <x:v>36</x:v>
      </x:c>
      <x:c r="J149" s="8" t="n">
        <x:v>7</x:v>
      </x:c>
      <x:c r="K149" s="17" t="n">
        <x:v>0.36</x:v>
      </x:c>
      <x:c r="L149" s="8" t="str">
        <x:v>Fashion</x:v>
      </x:c>
      <x:c r="M149" s="8" t="n">
        <x:v>4</x:v>
      </x:c>
      <x:c r="N149" s="9" t="str">
        <x:v>Value Seekers</x:v>
      </x:c>
    </x:row>
    <x:row r="150">
      <x:c r="A150" s="7" t="str">
        <x:v>CUST-1149</x:v>
      </x:c>
      <x:c r="B150" s="8" t="n">
        <x:v>31</x:v>
      </x:c>
      <x:c r="C150" s="8" t="str">
        <x:v>Male</x:v>
      </x:c>
      <x:c r="D150" s="8" t="str">
        <x:v>West</x:v>
      </x:c>
      <x:c r="E150" s="14" t="n">
        <x:v>48600</x:v>
      </x:c>
      <x:c r="F150" s="8" t="n">
        <x:v>5</x:v>
      </x:c>
      <x:c r="G150" s="14" t="n">
        <x:v>84</x:v>
      </x:c>
      <x:c r="H150" s="14" t="n">
        <x:f>F150*G150</x:f>
        <x:v>420</x:v>
      </x:c>
      <x:c r="I150" s="8" t="n">
        <x:v>57</x:v>
      </x:c>
      <x:c r="J150" s="8" t="n">
        <x:v>10</x:v>
      </x:c>
      <x:c r="K150" s="17" t="n">
        <x:v>0.486</x:v>
      </x:c>
      <x:c r="L150" s="8" t="str">
        <x:v>Grocery</x:v>
      </x:c>
      <x:c r="M150" s="8" t="n">
        <x:v>4</x:v>
      </x:c>
      <x:c r="N150" s="9" t="str">
        <x:v>Value Seekers</x:v>
      </x:c>
    </x:row>
    <x:row r="151">
      <x:c r="A151" s="7" t="str">
        <x:v>CUST-1150</x:v>
      </x:c>
      <x:c r="B151" s="8" t="n">
        <x:v>25</x:v>
      </x:c>
      <x:c r="C151" s="8" t="str">
        <x:v>Non-binary</x:v>
      </x:c>
      <x:c r="D151" s="8" t="str">
        <x:v>East</x:v>
      </x:c>
      <x:c r="E151" s="14" t="n">
        <x:v>35900</x:v>
      </x:c>
      <x:c r="F151" s="8" t="n">
        <x:v>3</x:v>
      </x:c>
      <x:c r="G151" s="14" t="n">
        <x:v>54</x:v>
      </x:c>
      <x:c r="H151" s="14" t="n">
        <x:f>F151*G151</x:f>
        <x:v>162</x:v>
      </x:c>
      <x:c r="I151" s="8" t="n">
        <x:v>39</x:v>
      </x:c>
      <x:c r="J151" s="8" t="n">
        <x:v>7</x:v>
      </x:c>
      <x:c r="K151" s="17" t="n">
        <x:v>0.378</x:v>
      </x:c>
      <x:c r="L151" s="8" t="str">
        <x:v>Fashion</x:v>
      </x:c>
      <x:c r="M151" s="8" t="n">
        <x:v>4</x:v>
      </x:c>
      <x:c r="N151" s="9" t="str">
        <x:v>Value Seekers</x:v>
      </x:c>
    </x:row>
    <x:row r="152">
      <x:c r="A152" s="7" t="str">
        <x:v>CUST-1151</x:v>
      </x:c>
      <x:c r="B152" s="8" t="n">
        <x:v>32</x:v>
      </x:c>
      <x:c r="C152" s="8" t="str">
        <x:v>Female</x:v>
      </x:c>
      <x:c r="D152" s="8" t="str">
        <x:v>South</x:v>
      </x:c>
      <x:c r="E152" s="14" t="n">
        <x:v>53100</x:v>
      </x:c>
      <x:c r="F152" s="8" t="n">
        <x:v>5</x:v>
      </x:c>
      <x:c r="G152" s="14" t="n">
        <x:v>89</x:v>
      </x:c>
      <x:c r="H152" s="14" t="n">
        <x:f>F152*G152</x:f>
        <x:v>445</x:v>
      </x:c>
      <x:c r="I152" s="8" t="n">
        <x:v>60</x:v>
      </x:c>
      <x:c r="J152" s="8" t="n">
        <x:v>11</x:v>
      </x:c>
      <x:c r="K152" s="17" t="n">
        <x:v>0.504</x:v>
      </x:c>
      <x:c r="L152" s="8" t="str">
        <x:v>Grocery</x:v>
      </x:c>
      <x:c r="M152" s="8" t="n">
        <x:v>4</x:v>
      </x:c>
      <x:c r="N152" s="9" t="str">
        <x:v>Value Seekers</x:v>
      </x:c>
    </x:row>
    <x:row r="153">
      <x:c r="A153" s="7" t="str">
        <x:v>CUST-1152</x:v>
      </x:c>
      <x:c r="B153" s="8" t="n">
        <x:v>26</x:v>
      </x:c>
      <x:c r="C153" s="8" t="str">
        <x:v>Male</x:v>
      </x:c>
      <x:c r="D153" s="8" t="str">
        <x:v>North</x:v>
      </x:c>
      <x:c r="E153" s="14" t="n">
        <x:v>40400</x:v>
      </x:c>
      <x:c r="F153" s="8" t="n">
        <x:v>3</x:v>
      </x:c>
      <x:c r="G153" s="14" t="n">
        <x:v>59</x:v>
      </x:c>
      <x:c r="H153" s="14" t="n">
        <x:f>F153*G153</x:f>
        <x:v>177</x:v>
      </x:c>
      <x:c r="I153" s="8" t="n">
        <x:v>42</x:v>
      </x:c>
      <x:c r="J153" s="8" t="n">
        <x:v>8</x:v>
      </x:c>
      <x:c r="K153" s="17" t="n">
        <x:v>0.396</x:v>
      </x:c>
      <x:c r="L153" s="8" t="str">
        <x:v>Fashion</x:v>
      </x:c>
      <x:c r="M153" s="8" t="n">
        <x:v>4</x:v>
      </x:c>
      <x:c r="N153" s="9" t="str">
        <x:v>Value Seekers</x:v>
      </x:c>
    </x:row>
    <x:row r="154">
      <x:c r="A154" s="7" t="str">
        <x:v>CUST-1153</x:v>
      </x:c>
      <x:c r="B154" s="8" t="n">
        <x:v>33</x:v>
      </x:c>
      <x:c r="C154" s="8" t="str">
        <x:v>Non-binary</x:v>
      </x:c>
      <x:c r="D154" s="8" t="str">
        <x:v>West</x:v>
      </x:c>
      <x:c r="E154" s="14" t="n">
        <x:v>53200</x:v>
      </x:c>
      <x:c r="F154" s="8" t="n">
        <x:v>5</x:v>
      </x:c>
      <x:c r="G154" s="14" t="n">
        <x:v>94</x:v>
      </x:c>
      <x:c r="H154" s="14" t="n">
        <x:f>F154*G154</x:f>
        <x:v>470</x:v>
      </x:c>
      <x:c r="I154" s="8" t="n">
        <x:v>63</x:v>
      </x:c>
      <x:c r="J154" s="8" t="n">
        <x:v>11</x:v>
      </x:c>
      <x:c r="K154" s="17" t="n">
        <x:v>0.522</x:v>
      </x:c>
      <x:c r="L154" s="8" t="str">
        <x:v>Grocery</x:v>
      </x:c>
      <x:c r="M154" s="8" t="n">
        <x:v>4</x:v>
      </x:c>
      <x:c r="N154" s="9" t="str">
        <x:v>Value Seekers</x:v>
      </x:c>
    </x:row>
    <x:row r="155">
      <x:c r="A155" s="7" t="str">
        <x:v>CUST-1154</x:v>
      </x:c>
      <x:c r="B155" s="8" t="n">
        <x:v>27</x:v>
      </x:c>
      <x:c r="C155" s="8" t="str">
        <x:v>Female</x:v>
      </x:c>
      <x:c r="D155" s="8" t="str">
        <x:v>East</x:v>
      </x:c>
      <x:c r="E155" s="14" t="n">
        <x:v>40500</x:v>
      </x:c>
      <x:c r="F155" s="8" t="n">
        <x:v>3</x:v>
      </x:c>
      <x:c r="G155" s="14" t="n">
        <x:v>64</x:v>
      </x:c>
      <x:c r="H155" s="14" t="n">
        <x:f>F155*G155</x:f>
        <x:v>192</x:v>
      </x:c>
      <x:c r="I155" s="8" t="n">
        <x:v>45</x:v>
      </x:c>
      <x:c r="J155" s="8" t="n">
        <x:v>8</x:v>
      </x:c>
      <x:c r="K155" s="17" t="n">
        <x:v>0.41400000000000003</x:v>
      </x:c>
      <x:c r="L155" s="8" t="str">
        <x:v>Fashion</x:v>
      </x:c>
      <x:c r="M155" s="8" t="n">
        <x:v>4</x:v>
      </x:c>
      <x:c r="N155" s="9" t="str">
        <x:v>Value Seekers</x:v>
      </x:c>
    </x:row>
    <x:row r="156">
      <x:c r="A156" s="7" t="str">
        <x:v>CUST-1155</x:v>
      </x:c>
      <x:c r="B156" s="8" t="n">
        <x:v>34</x:v>
      </x:c>
      <x:c r="C156" s="8" t="str">
        <x:v>Male</x:v>
      </x:c>
      <x:c r="D156" s="8" t="str">
        <x:v>South</x:v>
      </x:c>
      <x:c r="E156" s="14" t="n">
        <x:v>57700</x:v>
      </x:c>
      <x:c r="F156" s="8" t="n">
        <x:v>6</x:v>
      </x:c>
      <x:c r="G156" s="14" t="n">
        <x:v>99</x:v>
      </x:c>
      <x:c r="H156" s="14" t="n">
        <x:f>F156*G156</x:f>
        <x:v>594</x:v>
      </x:c>
      <x:c r="I156" s="8" t="n">
        <x:v>66</x:v>
      </x:c>
      <x:c r="J156" s="8" t="n">
        <x:v>12</x:v>
      </x:c>
      <x:c r="K156" s="17" t="n">
        <x:v>0.54</x:v>
      </x:c>
      <x:c r="L156" s="8" t="str">
        <x:v>Grocery</x:v>
      </x:c>
      <x:c r="M156" s="8" t="n">
        <x:v>4</x:v>
      </x:c>
      <x:c r="N156" s="9" t="str">
        <x:v>Value Seekers</x:v>
      </x:c>
    </x:row>
    <x:row r="157">
      <x:c r="A157" s="7" t="str">
        <x:v>CUST-1156</x:v>
      </x:c>
      <x:c r="B157" s="8" t="n">
        <x:v>28</x:v>
      </x:c>
      <x:c r="C157" s="8" t="str">
        <x:v>Non-binary</x:v>
      </x:c>
      <x:c r="D157" s="8" t="str">
        <x:v>North</x:v>
      </x:c>
      <x:c r="E157" s="14" t="n">
        <x:v>45000</x:v>
      </x:c>
      <x:c r="F157" s="8" t="n">
        <x:v>4</x:v>
      </x:c>
      <x:c r="G157" s="14" t="n">
        <x:v>69</x:v>
      </x:c>
      <x:c r="H157" s="14" t="n">
        <x:f>F157*G157</x:f>
        <x:v>276</x:v>
      </x:c>
      <x:c r="I157" s="8" t="n">
        <x:v>48</x:v>
      </x:c>
      <x:c r="J157" s="8" t="n">
        <x:v>9</x:v>
      </x:c>
      <x:c r="K157" s="17" t="n">
        <x:v>0.432</x:v>
      </x:c>
      <x:c r="L157" s="8" t="str">
        <x:v>Fashion</x:v>
      </x:c>
      <x:c r="M157" s="8" t="n">
        <x:v>4</x:v>
      </x:c>
      <x:c r="N157" s="9" t="str">
        <x:v>Value Seekers</x:v>
      </x:c>
    </x:row>
    <x:row r="158">
      <x:c r="A158" s="7" t="str">
        <x:v>CUST-1157</x:v>
      </x:c>
      <x:c r="B158" s="8" t="n">
        <x:v>35</x:v>
      </x:c>
      <x:c r="C158" s="8" t="str">
        <x:v>Female</x:v>
      </x:c>
      <x:c r="D158" s="8" t="str">
        <x:v>West</x:v>
      </x:c>
      <x:c r="E158" s="14" t="n">
        <x:v>57800</x:v>
      </x:c>
      <x:c r="F158" s="8" t="n">
        <x:v>6</x:v>
      </x:c>
      <x:c r="G158" s="14" t="n">
        <x:v>104</x:v>
      </x:c>
      <x:c r="H158" s="14" t="n">
        <x:f>F158*G158</x:f>
        <x:v>624</x:v>
      </x:c>
      <x:c r="I158" s="8" t="n">
        <x:v>69</x:v>
      </x:c>
      <x:c r="J158" s="8" t="n">
        <x:v>12</x:v>
      </x:c>
      <x:c r="K158" s="17" t="n">
        <x:v>0.558</x:v>
      </x:c>
      <x:c r="L158" s="8" t="str">
        <x:v>Grocery</x:v>
      </x:c>
      <x:c r="M158" s="8" t="n">
        <x:v>4</x:v>
      </x:c>
      <x:c r="N158" s="9" t="str">
        <x:v>Value Seekers</x:v>
      </x:c>
    </x:row>
    <x:row r="159">
      <x:c r="A159" s="7" t="str">
        <x:v>CUST-1158</x:v>
      </x:c>
      <x:c r="B159" s="8" t="n">
        <x:v>29</x:v>
      </x:c>
      <x:c r="C159" s="8" t="str">
        <x:v>Male</x:v>
      </x:c>
      <x:c r="D159" s="8" t="str">
        <x:v>East</x:v>
      </x:c>
      <x:c r="E159" s="14" t="n">
        <x:v>45100</x:v>
      </x:c>
      <x:c r="F159" s="8" t="n">
        <x:v>4</x:v>
      </x:c>
      <x:c r="G159" s="14" t="n">
        <x:v>74</x:v>
      </x:c>
      <x:c r="H159" s="14" t="n">
        <x:f>F159*G159</x:f>
        <x:v>296</x:v>
      </x:c>
      <x:c r="I159" s="8" t="n">
        <x:v>51</x:v>
      </x:c>
      <x:c r="J159" s="8" t="n">
        <x:v>9</x:v>
      </x:c>
      <x:c r="K159" s="17" t="n">
        <x:v>0.45</x:v>
      </x:c>
      <x:c r="L159" s="8" t="str">
        <x:v>Fashion</x:v>
      </x:c>
      <x:c r="M159" s="8" t="n">
        <x:v>4</x:v>
      </x:c>
      <x:c r="N159" s="9" t="str">
        <x:v>Value Seekers</x:v>
      </x:c>
    </x:row>
    <x:row r="160">
      <x:c r="A160" s="7" t="str">
        <x:v>CUST-1159</x:v>
      </x:c>
      <x:c r="B160" s="8" t="n">
        <x:v>23</x:v>
      </x:c>
      <x:c r="C160" s="8" t="str">
        <x:v>Non-binary</x:v>
      </x:c>
      <x:c r="D160" s="8" t="str">
        <x:v>South</x:v>
      </x:c>
      <x:c r="E160" s="14" t="n">
        <x:v>32400</x:v>
      </x:c>
      <x:c r="F160" s="8" t="n">
        <x:v>2</x:v>
      </x:c>
      <x:c r="G160" s="14" t="n">
        <x:v>44</x:v>
      </x:c>
      <x:c r="H160" s="14" t="n">
        <x:f>F160*G160</x:f>
        <x:v>88</x:v>
      </x:c>
      <x:c r="I160" s="8" t="n">
        <x:v>33</x:v>
      </x:c>
      <x:c r="J160" s="8" t="n">
        <x:v>6</x:v>
      </x:c>
      <x:c r="K160" s="17" t="n">
        <x:v>0.342</x:v>
      </x:c>
      <x:c r="L160" s="8" t="str">
        <x:v>Grocery</x:v>
      </x:c>
      <x:c r="M160" s="8" t="n">
        <x:v>4</x:v>
      </x:c>
      <x:c r="N160" s="9" t="str">
        <x:v>Value Seekers</x:v>
      </x:c>
    </x:row>
    <x:row r="161">
      <x:c r="A161" s="10" t="str">
        <x:v>CUST-1160</x:v>
      </x:c>
      <x:c r="B161" s="11" t="n">
        <x:v>30</x:v>
      </x:c>
      <x:c r="C161" s="11" t="str">
        <x:v>Female</x:v>
      </x:c>
      <x:c r="D161" s="11" t="str">
        <x:v>North</x:v>
      </x:c>
      <x:c r="E161" s="15" t="n">
        <x:v>49600</x:v>
      </x:c>
      <x:c r="F161" s="11" t="n">
        <x:v>4</x:v>
      </x:c>
      <x:c r="G161" s="15" t="n">
        <x:v>79</x:v>
      </x:c>
      <x:c r="H161" s="15" t="n">
        <x:f>F161*G161</x:f>
        <x:v>316</x:v>
      </x:c>
      <x:c r="I161" s="11" t="n">
        <x:v>54</x:v>
      </x:c>
      <x:c r="J161" s="11" t="n">
        <x:v>10</x:v>
      </x:c>
      <x:c r="K161" s="18" t="n">
        <x:v>0.468</x:v>
      </x:c>
      <x:c r="L161" s="11" t="str">
        <x:v>Fashion</x:v>
      </x:c>
      <x:c r="M161" s="11" t="n">
        <x:v>4</x:v>
      </x:c>
      <x:c r="N161" s="12" t="str">
        <x:v>Value Seekers</x:v>
      </x:c>
    </x:row>
  </x:sheetData>
  <x:pageMargins left="0.7" right="0.7" top="0.75" bottom="0.75" header="0.3" footer="0.3"/>
  <x:tableParts count="1">
    <x:tablePart xmlns:r="http://schemas.openxmlformats.org/officeDocument/2006/relationships" r:id="R8b651d587dc4464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50" hidden="0" customWidth="1"/>
  </x:cols>
  <x:sheetData>
    <x:row r="1" ht="30" customHeight="1">
      <x:c r="A1" s="20" t="str">
        <x:v>Segment Profiles &amp; Targeting Playbook</x:v>
      </x:c>
      <x:c r="B1" s="20"/>
      <x:c r="C1" s="20"/>
      <x:c r="D1" s="20"/>
      <x:c r="E1" s="20"/>
      <x:c r="F1" s="20"/>
      <x:c r="G1" s="20"/>
      <x:c r="H1" s="20"/>
    </x:row>
    <x:row r="3">
      <x:c r="A3" s="23" t="str">
        <x:v>Segment</x:v>
      </x:c>
      <x:c r="B3" s="23" t="str">
        <x:v>Customers</x:v>
      </x:c>
      <x:c r="C3" s="23" t="str">
        <x:v>Share</x:v>
      </x:c>
      <x:c r="D3" s="23" t="str">
        <x:v>Avg. Lifetime Spend</x:v>
      </x:c>
      <x:c r="E3" s="23" t="str">
        <x:v>Avg. Orders</x:v>
      </x:c>
      <x:c r="F3" s="23" t="str">
        <x:v>Avg. Recency</x:v>
      </x:c>
      <x:c r="G3" s="23" t="str">
        <x:v>Priority</x:v>
      </x:c>
      <x:c r="H3" s="23" t="str">
        <x:v>Recommended Action</x:v>
      </x:c>
    </x:row>
    <x:row r="4" ht="28" customHeight="1">
      <x:c r="A4" s="24" t="str">
        <x:v>Champions</x:v>
      </x:c>
      <x:c r="B4" s="25" t="n">
        <x:f>COUNTIF('Customer Data'!$N$2:$N$161,A4)</x:f>
        <x:v>40</x:v>
      </x:c>
      <x:c r="C4" s="36" t="n">
        <x:f>B4/SUM($B$4:$B$7)</x:f>
        <x:v>0.25</x:v>
      </x:c>
      <x:c r="D4" s="39" t="n">
        <x:f>AVERAGEIF('Customer Data'!$N$2:$N$161,A4,'Customer Data'!$H$2:$H$161)</x:f>
        <x:v>5127</x:v>
      </x:c>
      <x:c r="E4" s="42" t="n">
        <x:f>AVERAGEIF('Customer Data'!$N$2:$N$161,A4,'Customer Data'!$F$2:$F$161)</x:f>
        <x:v>17.95</x:v>
      </x:c>
      <x:c r="F4" s="42" t="n">
        <x:f>AVERAGEIF('Customer Data'!$N$2:$N$161,A4,'Customer Data'!$I$2:$I$161)</x:f>
        <x:v>12.625</x:v>
      </x:c>
      <x:c r="G4" s="25" t="str">
        <x:v>Protect</x:v>
      </x:c>
      <x:c r="H4" s="33" t="str">
        <x:v>VIP offers, early access, and referral rewards</x:v>
      </x:c>
    </x:row>
    <x:row r="5" ht="28" customHeight="1">
      <x:c r="A5" s="27" t="str">
        <x:v>Loyal Customers</x:v>
      </x:c>
      <x:c r="B5" s="28" t="n">
        <x:f>COUNTIF('Customer Data'!$N$2:$N$161,A5)</x:f>
        <x:v>45</x:v>
      </x:c>
      <x:c r="C5" s="37" t="n">
        <x:f>B5/SUM($B$4:$B$7)</x:f>
        <x:v>0.28125</x:v>
      </x:c>
      <x:c r="D5" s="40" t="n">
        <x:f>AVERAGEIF('Customer Data'!$N$2:$N$161,A5,'Customer Data'!$H$2:$H$161)</x:f>
        <x:v>1727.4444444444443</x:v>
      </x:c>
      <x:c r="E5" s="43" t="n">
        <x:f>AVERAGEIF('Customer Data'!$N$2:$N$161,A5,'Customer Data'!$F$2:$F$161)</x:f>
        <x:v>13.044444444444444</x:v>
      </x:c>
      <x:c r="F5" s="43" t="n">
        <x:f>AVERAGEIF('Customer Data'!$N$2:$N$161,A5,'Customer Data'!$I$2:$I$161)</x:f>
        <x:v>24.333333333333332</x:v>
      </x:c>
      <x:c r="G5" s="28" t="str">
        <x:v>Grow</x:v>
      </x:c>
      <x:c r="H5" s="34" t="str">
        <x:v>Cross-sell complementary products and loyalty bundles</x:v>
      </x:c>
    </x:row>
    <x:row r="6" ht="28" customHeight="1">
      <x:c r="A6" s="27" t="str">
        <x:v>At Risk</x:v>
      </x:c>
      <x:c r="B6" s="28" t="n">
        <x:f>COUNTIF('Customer Data'!$N$2:$N$161,A6)</x:f>
        <x:v>35</x:v>
      </x:c>
      <x:c r="C6" s="37" t="n">
        <x:f>B6/SUM($B$4:$B$7)</x:f>
        <x:v>0.21875</x:v>
      </x:c>
      <x:c r="D6" s="40" t="n">
        <x:f>AVERAGEIF('Customer Data'!$N$2:$N$161,A6,'Customer Data'!$H$2:$H$161)</x:f>
        <x:v>1400.857142857143</x:v>
      </x:c>
      <x:c r="E6" s="43" t="n">
        <x:f>AVERAGEIF('Customer Data'!$N$2:$N$161,A6,'Customer Data'!$F$2:$F$161)</x:f>
        <x:v>8.057142857142857</x:v>
      </x:c>
      <x:c r="F6" s="43" t="n">
        <x:f>AVERAGEIF('Customer Data'!$N$2:$N$161,A6,'Customer Data'!$I$2:$I$161)</x:f>
        <x:v>142.5142857142857</x:v>
      </x:c>
      <x:c r="G6" s="28" t="str">
        <x:v>Win back</x:v>
      </x:c>
      <x:c r="H6" s="34" t="str">
        <x:v>Trigger a time-limited reactivation campaign</x:v>
      </x:c>
    </x:row>
    <x:row r="7" ht="28" customHeight="1">
      <x:c r="A7" s="30" t="str">
        <x:v>Value Seekers</x:v>
      </x:c>
      <x:c r="B7" s="31" t="n">
        <x:f>COUNTIF('Customer Data'!$N$2:$N$161,A7)</x:f>
        <x:v>40</x:v>
      </x:c>
      <x:c r="C7" s="38" t="n">
        <x:f>B7/SUM($B$4:$B$7)</x:f>
        <x:v>0.25</x:v>
      </x:c>
      <x:c r="D7" s="41" t="n">
        <x:f>AVERAGEIF('Customer Data'!$N$2:$N$161,A7,'Customer Data'!$H$2:$H$161)</x:f>
        <x:v>319.75</x:v>
      </x:c>
      <x:c r="E7" s="44" t="n">
        <x:f>AVERAGEIF('Customer Data'!$N$2:$N$161,A7,'Customer Data'!$F$2:$F$161)</x:f>
        <x:v>4</x:v>
      </x:c>
      <x:c r="F7" s="44" t="n">
        <x:f>AVERAGEIF('Customer Data'!$N$2:$N$161,A7,'Customer Data'!$I$2:$I$161)</x:f>
        <x:v>51.075</x:v>
      </x:c>
      <x:c r="G7" s="31" t="str">
        <x:v>Nurture</x:v>
      </x:c>
      <x:c r="H7" s="35" t="str">
        <x:v>Use value-led bundles and onboarding incentives</x:v>
      </x:c>
    </x:row>
    <x:row r="10">
      <x:c r="A10" s="46" t="str">
        <x:v>Interpretation</x:v>
      </x:c>
      <x:c r="B10" s="46"/>
      <x:c r="C10" s="46"/>
      <x:c r="D10" s="46"/>
      <x:c r="E10" s="46"/>
      <x:c r="F10" s="46"/>
      <x:c r="G10" s="46"/>
      <x:c r="H10" s="46"/>
    </x:row>
    <x:row r="11">
      <x:c r="A11" s="49" t="str">
        <x:v>Champions combine high spend, high purchase frequency, and recent activity.</x:v>
      </x:c>
      <x:c r="B11" s="49"/>
      <x:c r="C11" s="49"/>
      <x:c r="D11" s="49"/>
      <x:c r="E11" s="49"/>
      <x:c r="F11" s="49"/>
      <x:c r="G11" s="49"/>
      <x:c r="H11" s="49"/>
    </x:row>
    <x:row r="12">
      <x:c r="A12" s="49" t="str">
        <x:v>Loyal Customers have reliable repeat behavior and are strong cross-sell candidates.</x:v>
      </x:c>
      <x:c r="B12" s="49"/>
      <x:c r="C12" s="49"/>
      <x:c r="D12" s="49"/>
      <x:c r="E12" s="49"/>
      <x:c r="F12" s="49"/>
      <x:c r="G12" s="49"/>
      <x:c r="H12" s="49"/>
    </x:row>
    <x:row r="13">
      <x:c r="A13" s="49" t="str">
        <x:v>At Risk customers were once valuable but have elevated recency; prioritize win-back offers.</x:v>
      </x:c>
      <x:c r="B13" s="49"/>
      <x:c r="C13" s="49"/>
      <x:c r="D13" s="49"/>
      <x:c r="E13" s="49"/>
      <x:c r="F13" s="49"/>
      <x:c r="G13" s="49"/>
      <x:c r="H13" s="49"/>
    </x:row>
    <x:row r="14">
      <x:c r="A14" s="49" t="str">
        <x:v>Value Seekers are price-sensitive, newer or lower-frequency customers; focus on efficient nurture journeys.</x:v>
      </x:c>
      <x:c r="B14" s="49"/>
      <x:c r="C14" s="49"/>
      <x:c r="D14" s="49"/>
      <x:c r="E14" s="49"/>
      <x:c r="F14" s="49"/>
      <x:c r="G14" s="49"/>
      <x:c r="H14" s="49"/>
    </x:row>
  </x:sheetData>
  <x:mergeCells>
    <x:mergeCell ref="A1:H1"/>
    <x:mergeCell ref="A10:H10"/>
    <x:mergeCell ref="A11:H11"/>
    <x:mergeCell ref="A12:H12"/>
    <x:mergeCell ref="A13:H13"/>
    <x:mergeCell ref="A14:H14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95" hidden="0" customWidth="1"/>
  </x:cols>
  <x:sheetData>
    <x:row r="1" ht="30" customHeight="1">
      <x:c r="A1" s="20" t="str">
        <x:v>Customer Segmentation — Methodology &amp; Refresh Guide</x:v>
      </x:c>
      <x:c r="B1" s="20"/>
      <x:c r="C1" s="20"/>
      <x:c r="D1" s="20"/>
      <x:c r="E1" s="20"/>
      <x:c r="F1" s="20"/>
      <x:c r="G1" s="20"/>
      <x:c r="H1" s="20"/>
    </x:row>
    <x:row r="3" ht="32" customHeight="1">
      <x:c r="A3" s="22" t="str">
        <x:v>Step</x:v>
      </x:c>
      <x:c r="B3" s="22" t="str">
        <x:v>Details</x:v>
      </x:c>
    </x:row>
    <x:row r="4" ht="32" customHeight="1">
      <x:c r="A4" s="103" t="str">
        <x:v>1. Import data</x:v>
      </x:c>
      <x:c r="B4" s="95" t="str">
        <x:v>Replace the Customer Data table with your CSV, Excel, or CRM export.</x:v>
      </x:c>
    </x:row>
    <x:row r="5" ht="32" customHeight="1">
      <x:c r="A5" s="104" t="str">
        <x:v>2. Prepare features</x:v>
      </x:c>
      <x:c r="B5" s="97" t="str">
        <x:v>Use customer-level purchase frequency, spend, recency, engagement, site activity, and income.</x:v>
      </x:c>
    </x:row>
    <x:row r="6" ht="32" customHeight="1">
      <x:c r="A6" s="104" t="str">
        <x:v>3. Standardize</x:v>
      </x:c>
      <x:c r="B6" s="97" t="str">
        <x:v>Center and scale features before clustering so high-value dollar fields do not dominate.</x:v>
      </x:c>
    </x:row>
    <x:row r="7" ht="32" customHeight="1">
      <x:c r="A7" s="104" t="str">
        <x:v>4. Cluster</x:v>
      </x:c>
      <x:c r="B7" s="97" t="str">
        <x:v>This workbook contains a deterministic k-means-style segmentation with k = 4.</x:v>
      </x:c>
    </x:row>
    <x:row r="8" ht="32" customHeight="1">
      <x:c r="A8" s="105" t="str">
        <x:v>5. Activate</x:v>
      </x:c>
      <x:c r="B8" s="99" t="str">
        <x:v>Use Segment Profiles to align offer strategy, CRM journeys, and retention actions.</x:v>
      </x:c>
    </x:row>
    <x:row r="11">
      <x:c r="A11" s="106" t="str">
        <x:v>Input field</x:v>
      </x:c>
      <x:c r="B11" s="106" t="str">
        <x:v>Why it matters</x:v>
      </x:c>
    </x:row>
    <x:row r="12">
      <x:c r="A12" s="28" t="str">
        <x:v>Orders</x:v>
      </x:c>
      <x:c r="B12" s="28" t="str">
        <x:v>Separates frequent and occasional purchasers</x:v>
      </x:c>
    </x:row>
    <x:row r="13">
      <x:c r="A13" s="28" t="str">
        <x:v>Lifetime Spend</x:v>
      </x:c>
      <x:c r="B13" s="28" t="str">
        <x:v>Quantifies realized customer value</x:v>
      </x:c>
    </x:row>
    <x:row r="14">
      <x:c r="A14" s="28" t="str">
        <x:v>Recency</x:v>
      </x:c>
      <x:c r="B14" s="28" t="str">
        <x:v>Highlights inactive customers and churn risk</x:v>
      </x:c>
    </x:row>
    <x:row r="15">
      <x:c r="A15" s="28" t="str">
        <x:v>Engagement / Visits</x:v>
      </x:c>
      <x:c r="B15" s="28" t="str">
        <x:v>Indicates relationship depth and addressability</x:v>
      </x:c>
    </x:row>
  </x:sheetData>
  <x:mergeCells>
    <x:mergeCell ref="A1:H1"/>
  </x:mergeCells>
  <x:pageMargins left="0.7" right="0.7" top="0.75" bottom="0.75" header="0.3" footer="0.3"/>
</x:worksheet>
</file>